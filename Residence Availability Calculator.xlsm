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Reports\"/>
    </mc:Choice>
  </mc:AlternateContent>
  <xr:revisionPtr revIDLastSave="0" documentId="10_ncr:100000_{1041DF9C-75A8-4293-823A-627A91CDE3ED}" xr6:coauthVersionLast="31" xr6:coauthVersionMax="34" xr10:uidLastSave="{00000000-0000-0000-0000-000000000000}"/>
  <bookViews>
    <workbookView xWindow="0" yWindow="0" windowWidth="21570" windowHeight="9915" firstSheet="2" activeTab="3" xr2:uid="{00000000-000D-0000-FFFF-FFFF00000000}"/>
  </bookViews>
  <sheets>
    <sheet name="PASTE RAW DATA HERE" sheetId="1" state="hidden" r:id="rId1"/>
    <sheet name="Calculation" sheetId="2" state="hidden" r:id="rId2"/>
    <sheet name="Results" sheetId="3" r:id="rId3"/>
    <sheet name="Combination Report" sheetId="4" r:id="rId4"/>
  </sheets>
  <functionGroups builtInGroupCount="19"/>
  <definedNames>
    <definedName name="_xlnm.Print_Area" localSheetId="3">'Combination Report'!$A$1:$O$113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" l="1"/>
  <c r="K11" i="4"/>
  <c r="G11" i="4"/>
  <c r="D11" i="4"/>
  <c r="K8" i="4"/>
  <c r="D8" i="4"/>
  <c r="K7" i="4"/>
  <c r="G7" i="4"/>
  <c r="D7" i="4"/>
  <c r="G12" i="4"/>
  <c r="G10" i="4"/>
  <c r="G9" i="4"/>
  <c r="G8" i="4"/>
  <c r="G6" i="4"/>
  <c r="G5" i="4"/>
  <c r="D10" i="4"/>
  <c r="D9" i="4"/>
  <c r="D6" i="4"/>
  <c r="D5" i="4"/>
  <c r="N12" i="4"/>
  <c r="N11" i="4"/>
  <c r="N10" i="4"/>
  <c r="N9" i="4"/>
  <c r="N8" i="4"/>
  <c r="N7" i="4"/>
  <c r="N6" i="4"/>
  <c r="N5" i="4"/>
  <c r="K12" i="4"/>
  <c r="K10" i="4"/>
  <c r="K9" i="4"/>
  <c r="K6" i="4"/>
  <c r="K5" i="4"/>
  <c r="I12" i="4" l="1"/>
  <c r="B12" i="4"/>
  <c r="B11" i="4"/>
  <c r="B10" i="4"/>
  <c r="B9" i="4"/>
  <c r="I8" i="4"/>
  <c r="I7" i="4"/>
  <c r="I6" i="4"/>
  <c r="I5" i="4"/>
  <c r="I11" i="4"/>
  <c r="I10" i="4"/>
  <c r="B8" i="4"/>
  <c r="B7" i="4"/>
  <c r="B6" i="4"/>
  <c r="L12" i="4"/>
  <c r="L11" i="4"/>
  <c r="L10" i="4"/>
  <c r="L9" i="4"/>
  <c r="L8" i="4"/>
  <c r="L7" i="4"/>
  <c r="L6" i="4"/>
  <c r="L5" i="4"/>
  <c r="I9" i="4"/>
  <c r="E12" i="4"/>
  <c r="E11" i="4"/>
  <c r="E10" i="4"/>
  <c r="E9" i="4"/>
  <c r="E8" i="4"/>
  <c r="E7" i="4"/>
  <c r="E6" i="4"/>
  <c r="E5" i="4"/>
  <c r="B5" i="4"/>
  <c r="F1" i="4"/>
  <c r="K5" i="2"/>
  <c r="A1" i="3" s="1"/>
  <c r="A2" i="2" l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DE20" i="3"/>
  <c r="DF20" i="3"/>
  <c r="DG20" i="3"/>
  <c r="DH20" i="3"/>
  <c r="DI20" i="3"/>
  <c r="DJ20" i="3"/>
  <c r="DK20" i="3"/>
  <c r="DL20" i="3"/>
  <c r="DM20" i="3"/>
  <c r="DN20" i="3"/>
  <c r="DO20" i="3"/>
  <c r="DP20" i="3"/>
  <c r="DQ20" i="3"/>
  <c r="DR20" i="3"/>
  <c r="DS20" i="3"/>
  <c r="DT20" i="3"/>
  <c r="DU20" i="3"/>
  <c r="DV20" i="3"/>
  <c r="DW20" i="3"/>
  <c r="DX20" i="3"/>
  <c r="DY20" i="3"/>
  <c r="DZ20" i="3"/>
  <c r="EA20" i="3"/>
  <c r="EB20" i="3"/>
  <c r="EC20" i="3"/>
  <c r="ED20" i="3"/>
  <c r="EE20" i="3"/>
  <c r="EF20" i="3"/>
  <c r="EG20" i="3"/>
  <c r="EH20" i="3"/>
  <c r="EI20" i="3"/>
  <c r="EJ20" i="3"/>
  <c r="EK20" i="3"/>
  <c r="EL20" i="3"/>
  <c r="EM20" i="3"/>
  <c r="EN20" i="3"/>
  <c r="EO20" i="3"/>
  <c r="EP20" i="3"/>
  <c r="EQ20" i="3"/>
  <c r="ER20" i="3"/>
  <c r="ES20" i="3"/>
  <c r="ET20" i="3"/>
  <c r="EU20" i="3"/>
  <c r="EV20" i="3"/>
  <c r="EW20" i="3"/>
  <c r="EX20" i="3"/>
  <c r="EY20" i="3"/>
  <c r="EZ20" i="3"/>
  <c r="FA20" i="3"/>
  <c r="FB20" i="3"/>
  <c r="FC20" i="3"/>
  <c r="FD20" i="3"/>
  <c r="FE20" i="3"/>
  <c r="FF20" i="3"/>
  <c r="FG20" i="3"/>
  <c r="FH20" i="3"/>
  <c r="FI20" i="3"/>
  <c r="FJ20" i="3"/>
  <c r="FK20" i="3"/>
  <c r="FL20" i="3"/>
  <c r="FM20" i="3"/>
  <c r="FN20" i="3"/>
  <c r="FO20" i="3"/>
  <c r="FP20" i="3"/>
  <c r="FQ20" i="3"/>
  <c r="FR20" i="3"/>
  <c r="FS20" i="3"/>
  <c r="FT20" i="3"/>
  <c r="FU20" i="3"/>
  <c r="FV20" i="3"/>
  <c r="FW20" i="3"/>
  <c r="FX20" i="3"/>
  <c r="FY20" i="3"/>
  <c r="FZ20" i="3"/>
  <c r="GA20" i="3"/>
  <c r="GB20" i="3"/>
  <c r="GC20" i="3"/>
  <c r="GD20" i="3"/>
  <c r="GE20" i="3"/>
  <c r="GF20" i="3"/>
  <c r="GG20" i="3"/>
  <c r="B21" i="3"/>
  <c r="C21" i="3"/>
  <c r="D21" i="3"/>
  <c r="E21" i="3"/>
  <c r="E22" i="3" s="1"/>
  <c r="F21" i="3"/>
  <c r="F22" i="3" s="1"/>
  <c r="G21" i="3"/>
  <c r="G22" i="3" s="1"/>
  <c r="H21" i="3"/>
  <c r="I21" i="3"/>
  <c r="I22" i="3" s="1"/>
  <c r="J21" i="3"/>
  <c r="J22" i="3" s="1"/>
  <c r="K21" i="3"/>
  <c r="K22" i="3" s="1"/>
  <c r="L21" i="3"/>
  <c r="L22" i="3" s="1"/>
  <c r="M21" i="3"/>
  <c r="M22" i="3" s="1"/>
  <c r="N21" i="3"/>
  <c r="N22" i="3" s="1"/>
  <c r="O21" i="3"/>
  <c r="O22" i="3" s="1"/>
  <c r="P21" i="3"/>
  <c r="P22" i="3" s="1"/>
  <c r="Q21" i="3"/>
  <c r="Q22" i="3" s="1"/>
  <c r="R21" i="3"/>
  <c r="R22" i="3" s="1"/>
  <c r="S21" i="3"/>
  <c r="S22" i="3" s="1"/>
  <c r="T21" i="3"/>
  <c r="T22" i="3" s="1"/>
  <c r="U21" i="3"/>
  <c r="U22" i="3" s="1"/>
  <c r="V21" i="3"/>
  <c r="V22" i="3" s="1"/>
  <c r="W21" i="3"/>
  <c r="W22" i="3" s="1"/>
  <c r="X21" i="3"/>
  <c r="X22" i="3" s="1"/>
  <c r="Y21" i="3"/>
  <c r="Y22" i="3" s="1"/>
  <c r="Z21" i="3"/>
  <c r="Z22" i="3" s="1"/>
  <c r="AA21" i="3"/>
  <c r="AA22" i="3" s="1"/>
  <c r="AB21" i="3"/>
  <c r="AC21" i="3"/>
  <c r="AC22" i="3" s="1"/>
  <c r="AD21" i="3"/>
  <c r="AD22" i="3" s="1"/>
  <c r="AE21" i="3"/>
  <c r="AE22" i="3" s="1"/>
  <c r="AF21" i="3"/>
  <c r="AF22" i="3" s="1"/>
  <c r="AG21" i="3"/>
  <c r="AG22" i="3" s="1"/>
  <c r="AH21" i="3"/>
  <c r="AH22" i="3" s="1"/>
  <c r="AI21" i="3"/>
  <c r="AI22" i="3" s="1"/>
  <c r="AJ21" i="3"/>
  <c r="AJ22" i="3" s="1"/>
  <c r="AK21" i="3"/>
  <c r="AK22" i="3" s="1"/>
  <c r="AL21" i="3"/>
  <c r="AL22" i="3" s="1"/>
  <c r="AM21" i="3"/>
  <c r="AM22" i="3" s="1"/>
  <c r="AN21" i="3"/>
  <c r="AN22" i="3" s="1"/>
  <c r="AO21" i="3"/>
  <c r="AO22" i="3" s="1"/>
  <c r="AP21" i="3"/>
  <c r="AP22" i="3" s="1"/>
  <c r="AQ21" i="3"/>
  <c r="AQ22" i="3" s="1"/>
  <c r="AR21" i="3"/>
  <c r="AR22" i="3" s="1"/>
  <c r="AS21" i="3"/>
  <c r="AS22" i="3" s="1"/>
  <c r="AT21" i="3"/>
  <c r="AT22" i="3" s="1"/>
  <c r="AU21" i="3"/>
  <c r="AU22" i="3" s="1"/>
  <c r="AV21" i="3"/>
  <c r="AV22" i="3" s="1"/>
  <c r="AW21" i="3"/>
  <c r="AW22" i="3" s="1"/>
  <c r="AX21" i="3"/>
  <c r="AX22" i="3" s="1"/>
  <c r="AY21" i="3"/>
  <c r="AY22" i="3" s="1"/>
  <c r="AZ21" i="3"/>
  <c r="AZ22" i="3" s="1"/>
  <c r="BA21" i="3"/>
  <c r="BA22" i="3" s="1"/>
  <c r="BB21" i="3"/>
  <c r="BB22" i="3" s="1"/>
  <c r="BC21" i="3"/>
  <c r="BC22" i="3" s="1"/>
  <c r="BD21" i="3"/>
  <c r="BD22" i="3" s="1"/>
  <c r="BE21" i="3"/>
  <c r="BE22" i="3" s="1"/>
  <c r="BF21" i="3"/>
  <c r="BF22" i="3" s="1"/>
  <c r="BG21" i="3"/>
  <c r="BG22" i="3" s="1"/>
  <c r="BH21" i="3"/>
  <c r="BH22" i="3" s="1"/>
  <c r="BI21" i="3"/>
  <c r="BI22" i="3" s="1"/>
  <c r="BJ21" i="3"/>
  <c r="BJ22" i="3" s="1"/>
  <c r="BK21" i="3"/>
  <c r="BK22" i="3" s="1"/>
  <c r="BL21" i="3"/>
  <c r="BL22" i="3" s="1"/>
  <c r="BM21" i="3"/>
  <c r="BM22" i="3" s="1"/>
  <c r="BN21" i="3"/>
  <c r="BN22" i="3" s="1"/>
  <c r="BO21" i="3"/>
  <c r="BO22" i="3" s="1"/>
  <c r="BP21" i="3"/>
  <c r="BP22" i="3" s="1"/>
  <c r="BQ21" i="3"/>
  <c r="BQ22" i="3" s="1"/>
  <c r="BR21" i="3"/>
  <c r="BR22" i="3" s="1"/>
  <c r="BS21" i="3"/>
  <c r="BS22" i="3" s="1"/>
  <c r="BT21" i="3"/>
  <c r="BT22" i="3" s="1"/>
  <c r="BU21" i="3"/>
  <c r="BU22" i="3" s="1"/>
  <c r="BV21" i="3"/>
  <c r="BV22" i="3" s="1"/>
  <c r="BW21" i="3"/>
  <c r="BW22" i="3" s="1"/>
  <c r="BX21" i="3"/>
  <c r="BX22" i="3" s="1"/>
  <c r="BY21" i="3"/>
  <c r="BY22" i="3" s="1"/>
  <c r="BZ21" i="3"/>
  <c r="BZ22" i="3" s="1"/>
  <c r="CA21" i="3"/>
  <c r="CA22" i="3" s="1"/>
  <c r="CB21" i="3"/>
  <c r="CB22" i="3" s="1"/>
  <c r="CC21" i="3"/>
  <c r="CC22" i="3" s="1"/>
  <c r="CD21" i="3"/>
  <c r="CD22" i="3" s="1"/>
  <c r="CE21" i="3"/>
  <c r="CE22" i="3" s="1"/>
  <c r="CF21" i="3"/>
  <c r="CF22" i="3" s="1"/>
  <c r="CG21" i="3"/>
  <c r="CG22" i="3" s="1"/>
  <c r="CH21" i="3"/>
  <c r="CH22" i="3" s="1"/>
  <c r="CI21" i="3"/>
  <c r="CI22" i="3" s="1"/>
  <c r="CJ21" i="3"/>
  <c r="CJ22" i="3" s="1"/>
  <c r="CK21" i="3"/>
  <c r="CK22" i="3" s="1"/>
  <c r="CL21" i="3"/>
  <c r="CL22" i="3" s="1"/>
  <c r="CM21" i="3"/>
  <c r="CM22" i="3" s="1"/>
  <c r="CN21" i="3"/>
  <c r="CN22" i="3" s="1"/>
  <c r="CO21" i="3"/>
  <c r="CO22" i="3" s="1"/>
  <c r="CP21" i="3"/>
  <c r="CP22" i="3" s="1"/>
  <c r="CQ21" i="3"/>
  <c r="CQ22" i="3" s="1"/>
  <c r="CR21" i="3"/>
  <c r="CR22" i="3" s="1"/>
  <c r="CS21" i="3"/>
  <c r="CS22" i="3" s="1"/>
  <c r="CT21" i="3"/>
  <c r="CT22" i="3" s="1"/>
  <c r="CU21" i="3"/>
  <c r="CU22" i="3" s="1"/>
  <c r="CV21" i="3"/>
  <c r="CV22" i="3" s="1"/>
  <c r="CW21" i="3"/>
  <c r="CW22" i="3" s="1"/>
  <c r="CX21" i="3"/>
  <c r="CX22" i="3" s="1"/>
  <c r="CY21" i="3"/>
  <c r="CY22" i="3" s="1"/>
  <c r="CZ21" i="3"/>
  <c r="CZ22" i="3" s="1"/>
  <c r="DA21" i="3"/>
  <c r="DA22" i="3" s="1"/>
  <c r="DB21" i="3"/>
  <c r="DB22" i="3" s="1"/>
  <c r="DC21" i="3"/>
  <c r="DC22" i="3" s="1"/>
  <c r="DD21" i="3"/>
  <c r="DD22" i="3" s="1"/>
  <c r="DE21" i="3"/>
  <c r="DE22" i="3" s="1"/>
  <c r="DF21" i="3"/>
  <c r="DF22" i="3" s="1"/>
  <c r="DG21" i="3"/>
  <c r="DG22" i="3" s="1"/>
  <c r="DH21" i="3"/>
  <c r="DH22" i="3" s="1"/>
  <c r="DI21" i="3"/>
  <c r="DI22" i="3" s="1"/>
  <c r="DJ21" i="3"/>
  <c r="DJ22" i="3" s="1"/>
  <c r="DK21" i="3"/>
  <c r="DK22" i="3" s="1"/>
  <c r="DL21" i="3"/>
  <c r="DL22" i="3" s="1"/>
  <c r="DM21" i="3"/>
  <c r="DM22" i="3" s="1"/>
  <c r="DN21" i="3"/>
  <c r="DN22" i="3" s="1"/>
  <c r="DO21" i="3"/>
  <c r="DO22" i="3" s="1"/>
  <c r="DP21" i="3"/>
  <c r="DP22" i="3" s="1"/>
  <c r="DQ21" i="3"/>
  <c r="DQ22" i="3" s="1"/>
  <c r="DR21" i="3"/>
  <c r="DR22" i="3" s="1"/>
  <c r="DS21" i="3"/>
  <c r="DS22" i="3" s="1"/>
  <c r="DT21" i="3"/>
  <c r="DT22" i="3" s="1"/>
  <c r="DU21" i="3"/>
  <c r="DU22" i="3" s="1"/>
  <c r="DV21" i="3"/>
  <c r="DV22" i="3" s="1"/>
  <c r="DW21" i="3"/>
  <c r="DW22" i="3" s="1"/>
  <c r="DX21" i="3"/>
  <c r="DX22" i="3" s="1"/>
  <c r="DY21" i="3"/>
  <c r="DY22" i="3" s="1"/>
  <c r="DZ21" i="3"/>
  <c r="DZ22" i="3" s="1"/>
  <c r="EA21" i="3"/>
  <c r="EA22" i="3" s="1"/>
  <c r="EB21" i="3"/>
  <c r="EB22" i="3" s="1"/>
  <c r="EC21" i="3"/>
  <c r="EC22" i="3" s="1"/>
  <c r="ED21" i="3"/>
  <c r="ED22" i="3" s="1"/>
  <c r="EE21" i="3"/>
  <c r="EE22" i="3" s="1"/>
  <c r="EF21" i="3"/>
  <c r="EF22" i="3" s="1"/>
  <c r="EG21" i="3"/>
  <c r="EG22" i="3" s="1"/>
  <c r="EH21" i="3"/>
  <c r="EH22" i="3" s="1"/>
  <c r="EI21" i="3"/>
  <c r="EI22" i="3" s="1"/>
  <c r="EJ21" i="3"/>
  <c r="EJ22" i="3" s="1"/>
  <c r="EK21" i="3"/>
  <c r="EK22" i="3" s="1"/>
  <c r="EL21" i="3"/>
  <c r="EL22" i="3" s="1"/>
  <c r="EM21" i="3"/>
  <c r="EM22" i="3" s="1"/>
  <c r="EN21" i="3"/>
  <c r="EN22" i="3" s="1"/>
  <c r="EO21" i="3"/>
  <c r="EO22" i="3" s="1"/>
  <c r="EP21" i="3"/>
  <c r="EP22" i="3" s="1"/>
  <c r="EQ21" i="3"/>
  <c r="EQ22" i="3" s="1"/>
  <c r="ER21" i="3"/>
  <c r="ER22" i="3" s="1"/>
  <c r="ES21" i="3"/>
  <c r="ES22" i="3" s="1"/>
  <c r="ET21" i="3"/>
  <c r="ET22" i="3" s="1"/>
  <c r="EU21" i="3"/>
  <c r="EU22" i="3" s="1"/>
  <c r="EV21" i="3"/>
  <c r="EV22" i="3" s="1"/>
  <c r="EW21" i="3"/>
  <c r="EW22" i="3" s="1"/>
  <c r="EX21" i="3"/>
  <c r="EX22" i="3" s="1"/>
  <c r="EY21" i="3"/>
  <c r="EY22" i="3" s="1"/>
  <c r="EZ21" i="3"/>
  <c r="EZ22" i="3" s="1"/>
  <c r="FA21" i="3"/>
  <c r="FA22" i="3" s="1"/>
  <c r="FB21" i="3"/>
  <c r="FB22" i="3" s="1"/>
  <c r="FC21" i="3"/>
  <c r="FC22" i="3" s="1"/>
  <c r="FD21" i="3"/>
  <c r="FD22" i="3" s="1"/>
  <c r="FE21" i="3"/>
  <c r="FE22" i="3" s="1"/>
  <c r="FF21" i="3"/>
  <c r="FF22" i="3" s="1"/>
  <c r="FG21" i="3"/>
  <c r="FG22" i="3" s="1"/>
  <c r="FH21" i="3"/>
  <c r="FH22" i="3" s="1"/>
  <c r="FI21" i="3"/>
  <c r="FI22" i="3" s="1"/>
  <c r="FJ21" i="3"/>
  <c r="FJ22" i="3" s="1"/>
  <c r="FK21" i="3"/>
  <c r="FK22" i="3" s="1"/>
  <c r="FL21" i="3"/>
  <c r="FL22" i="3" s="1"/>
  <c r="FM21" i="3"/>
  <c r="FM22" i="3" s="1"/>
  <c r="FN21" i="3"/>
  <c r="FN22" i="3" s="1"/>
  <c r="FO21" i="3"/>
  <c r="FO22" i="3" s="1"/>
  <c r="FP21" i="3"/>
  <c r="FP22" i="3" s="1"/>
  <c r="FQ21" i="3"/>
  <c r="FQ22" i="3" s="1"/>
  <c r="FR21" i="3"/>
  <c r="FR22" i="3" s="1"/>
  <c r="FS21" i="3"/>
  <c r="FS22" i="3" s="1"/>
  <c r="FT21" i="3"/>
  <c r="FT22" i="3" s="1"/>
  <c r="FU21" i="3"/>
  <c r="FU22" i="3" s="1"/>
  <c r="FV21" i="3"/>
  <c r="FV22" i="3" s="1"/>
  <c r="FW21" i="3"/>
  <c r="FW22" i="3" s="1"/>
  <c r="FX21" i="3"/>
  <c r="FX22" i="3" s="1"/>
  <c r="FY21" i="3"/>
  <c r="FY22" i="3" s="1"/>
  <c r="FZ21" i="3"/>
  <c r="FZ22" i="3" s="1"/>
  <c r="GA21" i="3"/>
  <c r="GA22" i="3" s="1"/>
  <c r="GB21" i="3"/>
  <c r="GB22" i="3" s="1"/>
  <c r="GC21" i="3"/>
  <c r="GC22" i="3" s="1"/>
  <c r="GD21" i="3"/>
  <c r="GD22" i="3" s="1"/>
  <c r="GE21" i="3"/>
  <c r="GE22" i="3" s="1"/>
  <c r="GF21" i="3"/>
  <c r="GF22" i="3" s="1"/>
  <c r="GG21" i="3"/>
  <c r="GG22" i="3" s="1"/>
  <c r="B22" i="3"/>
  <c r="C22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DE14" i="3"/>
  <c r="DF14" i="3"/>
  <c r="DG14" i="3"/>
  <c r="DH14" i="3"/>
  <c r="DI14" i="3"/>
  <c r="DJ14" i="3"/>
  <c r="DK14" i="3"/>
  <c r="DL14" i="3"/>
  <c r="DM14" i="3"/>
  <c r="DN14" i="3"/>
  <c r="DO14" i="3"/>
  <c r="DP14" i="3"/>
  <c r="DQ14" i="3"/>
  <c r="DR14" i="3"/>
  <c r="DS14" i="3"/>
  <c r="DT14" i="3"/>
  <c r="DU14" i="3"/>
  <c r="DV14" i="3"/>
  <c r="DW14" i="3"/>
  <c r="DX14" i="3"/>
  <c r="DY14" i="3"/>
  <c r="DZ14" i="3"/>
  <c r="EA14" i="3"/>
  <c r="EB14" i="3"/>
  <c r="EC14" i="3"/>
  <c r="ED14" i="3"/>
  <c r="EE14" i="3"/>
  <c r="EF14" i="3"/>
  <c r="EG14" i="3"/>
  <c r="EH14" i="3"/>
  <c r="EI14" i="3"/>
  <c r="EJ14" i="3"/>
  <c r="EK14" i="3"/>
  <c r="EL14" i="3"/>
  <c r="EM14" i="3"/>
  <c r="EN14" i="3"/>
  <c r="EO14" i="3"/>
  <c r="EP14" i="3"/>
  <c r="EQ14" i="3"/>
  <c r="ER14" i="3"/>
  <c r="ES14" i="3"/>
  <c r="ET14" i="3"/>
  <c r="EU14" i="3"/>
  <c r="EV14" i="3"/>
  <c r="EW14" i="3"/>
  <c r="EX14" i="3"/>
  <c r="EY14" i="3"/>
  <c r="EZ14" i="3"/>
  <c r="FA14" i="3"/>
  <c r="FB14" i="3"/>
  <c r="FC14" i="3"/>
  <c r="FD14" i="3"/>
  <c r="FE14" i="3"/>
  <c r="FF14" i="3"/>
  <c r="FG14" i="3"/>
  <c r="FH14" i="3"/>
  <c r="FI14" i="3"/>
  <c r="FJ14" i="3"/>
  <c r="FK14" i="3"/>
  <c r="FL14" i="3"/>
  <c r="FM14" i="3"/>
  <c r="FN14" i="3"/>
  <c r="FO14" i="3"/>
  <c r="FP14" i="3"/>
  <c r="FQ14" i="3"/>
  <c r="FR14" i="3"/>
  <c r="FS14" i="3"/>
  <c r="FT14" i="3"/>
  <c r="FU14" i="3"/>
  <c r="FV14" i="3"/>
  <c r="FW14" i="3"/>
  <c r="FX14" i="3"/>
  <c r="FY14" i="3"/>
  <c r="FZ14" i="3"/>
  <c r="GA14" i="3"/>
  <c r="GB14" i="3"/>
  <c r="GC14" i="3"/>
  <c r="GD14" i="3"/>
  <c r="GE14" i="3"/>
  <c r="GF14" i="3"/>
  <c r="GG14" i="3"/>
  <c r="B15" i="3"/>
  <c r="B16" i="3" s="1"/>
  <c r="C15" i="3"/>
  <c r="C16" i="3" s="1"/>
  <c r="D15" i="3"/>
  <c r="D16" i="3" s="1"/>
  <c r="E15" i="3"/>
  <c r="E16" i="3" s="1"/>
  <c r="F15" i="3"/>
  <c r="F16" i="3" s="1"/>
  <c r="G15" i="3"/>
  <c r="G16" i="3" s="1"/>
  <c r="H15" i="3"/>
  <c r="H16" i="3" s="1"/>
  <c r="I15" i="3"/>
  <c r="I16" i="3" s="1"/>
  <c r="J15" i="3"/>
  <c r="J16" i="3" s="1"/>
  <c r="K15" i="3"/>
  <c r="K16" i="3" s="1"/>
  <c r="L15" i="3"/>
  <c r="L16" i="3" s="1"/>
  <c r="M15" i="3"/>
  <c r="M16" i="3" s="1"/>
  <c r="N15" i="3"/>
  <c r="N16" i="3" s="1"/>
  <c r="O15" i="3"/>
  <c r="O16" i="3" s="1"/>
  <c r="P15" i="3"/>
  <c r="P16" i="3" s="1"/>
  <c r="Q15" i="3"/>
  <c r="Q16" i="3" s="1"/>
  <c r="R15" i="3"/>
  <c r="R16" i="3" s="1"/>
  <c r="S15" i="3"/>
  <c r="S16" i="3" s="1"/>
  <c r="T15" i="3"/>
  <c r="T16" i="3" s="1"/>
  <c r="U15" i="3"/>
  <c r="U16" i="3" s="1"/>
  <c r="V15" i="3"/>
  <c r="V16" i="3" s="1"/>
  <c r="W15" i="3"/>
  <c r="W16" i="3" s="1"/>
  <c r="X15" i="3"/>
  <c r="X16" i="3" s="1"/>
  <c r="Y15" i="3"/>
  <c r="Y16" i="3" s="1"/>
  <c r="Z15" i="3"/>
  <c r="Z16" i="3" s="1"/>
  <c r="AA15" i="3"/>
  <c r="AA16" i="3" s="1"/>
  <c r="AB15" i="3"/>
  <c r="AB16" i="3" s="1"/>
  <c r="AC15" i="3"/>
  <c r="AC16" i="3" s="1"/>
  <c r="AD15" i="3"/>
  <c r="AE15" i="3"/>
  <c r="AE16" i="3" s="1"/>
  <c r="AF15" i="3"/>
  <c r="AF16" i="3" s="1"/>
  <c r="AG15" i="3"/>
  <c r="AG16" i="3" s="1"/>
  <c r="AH15" i="3"/>
  <c r="AH16" i="3" s="1"/>
  <c r="AI15" i="3"/>
  <c r="AI16" i="3" s="1"/>
  <c r="AJ15" i="3"/>
  <c r="AJ16" i="3" s="1"/>
  <c r="AK15" i="3"/>
  <c r="AK16" i="3" s="1"/>
  <c r="AL15" i="3"/>
  <c r="AL16" i="3" s="1"/>
  <c r="AM15" i="3"/>
  <c r="AM16" i="3" s="1"/>
  <c r="AN15" i="3"/>
  <c r="AN16" i="3" s="1"/>
  <c r="AO15" i="3"/>
  <c r="AO16" i="3" s="1"/>
  <c r="AP15" i="3"/>
  <c r="AP16" i="3" s="1"/>
  <c r="AQ15" i="3"/>
  <c r="AQ16" i="3" s="1"/>
  <c r="AR15" i="3"/>
  <c r="AR16" i="3" s="1"/>
  <c r="AS15" i="3"/>
  <c r="AS16" i="3" s="1"/>
  <c r="AT15" i="3"/>
  <c r="AT16" i="3" s="1"/>
  <c r="AU15" i="3"/>
  <c r="AU16" i="3" s="1"/>
  <c r="AV15" i="3"/>
  <c r="AV16" i="3" s="1"/>
  <c r="AW15" i="3"/>
  <c r="AW16" i="3" s="1"/>
  <c r="AX15" i="3"/>
  <c r="AX16" i="3" s="1"/>
  <c r="AY15" i="3"/>
  <c r="AY16" i="3" s="1"/>
  <c r="AZ15" i="3"/>
  <c r="AZ16" i="3" s="1"/>
  <c r="BA15" i="3"/>
  <c r="BA16" i="3" s="1"/>
  <c r="BB15" i="3"/>
  <c r="BB16" i="3" s="1"/>
  <c r="BC15" i="3"/>
  <c r="BC16" i="3" s="1"/>
  <c r="BD15" i="3"/>
  <c r="BD16" i="3" s="1"/>
  <c r="BE15" i="3"/>
  <c r="BE16" i="3" s="1"/>
  <c r="BF15" i="3"/>
  <c r="BF16" i="3" s="1"/>
  <c r="BG15" i="3"/>
  <c r="BG16" i="3" s="1"/>
  <c r="BH15" i="3"/>
  <c r="BH16" i="3" s="1"/>
  <c r="BI15" i="3"/>
  <c r="BI16" i="3" s="1"/>
  <c r="BJ15" i="3"/>
  <c r="BJ16" i="3" s="1"/>
  <c r="BK15" i="3"/>
  <c r="BK16" i="3" s="1"/>
  <c r="BL15" i="3"/>
  <c r="BL16" i="3" s="1"/>
  <c r="BM15" i="3"/>
  <c r="BM16" i="3" s="1"/>
  <c r="BN15" i="3"/>
  <c r="BN16" i="3" s="1"/>
  <c r="BO15" i="3"/>
  <c r="BO16" i="3" s="1"/>
  <c r="BP15" i="3"/>
  <c r="BP16" i="3" s="1"/>
  <c r="BQ15" i="3"/>
  <c r="BQ16" i="3" s="1"/>
  <c r="BR15" i="3"/>
  <c r="BR16" i="3" s="1"/>
  <c r="BS15" i="3"/>
  <c r="BS16" i="3" s="1"/>
  <c r="BT15" i="3"/>
  <c r="BT16" i="3" s="1"/>
  <c r="BU15" i="3"/>
  <c r="BU16" i="3" s="1"/>
  <c r="BV15" i="3"/>
  <c r="BV16" i="3" s="1"/>
  <c r="BW15" i="3"/>
  <c r="BW16" i="3" s="1"/>
  <c r="BX15" i="3"/>
  <c r="BX16" i="3" s="1"/>
  <c r="BY15" i="3"/>
  <c r="BY16" i="3" s="1"/>
  <c r="BZ15" i="3"/>
  <c r="BZ16" i="3" s="1"/>
  <c r="CA15" i="3"/>
  <c r="CA16" i="3" s="1"/>
  <c r="CB15" i="3"/>
  <c r="CB16" i="3" s="1"/>
  <c r="CC15" i="3"/>
  <c r="CC16" i="3" s="1"/>
  <c r="CD15" i="3"/>
  <c r="CD16" i="3" s="1"/>
  <c r="CE15" i="3"/>
  <c r="CE16" i="3" s="1"/>
  <c r="CF15" i="3"/>
  <c r="CF16" i="3" s="1"/>
  <c r="CG15" i="3"/>
  <c r="CG16" i="3" s="1"/>
  <c r="CH15" i="3"/>
  <c r="CH16" i="3" s="1"/>
  <c r="CI15" i="3"/>
  <c r="CI16" i="3" s="1"/>
  <c r="CJ15" i="3"/>
  <c r="CJ16" i="3" s="1"/>
  <c r="CK15" i="3"/>
  <c r="CK16" i="3" s="1"/>
  <c r="CL15" i="3"/>
  <c r="CL16" i="3" s="1"/>
  <c r="CM15" i="3"/>
  <c r="CM16" i="3" s="1"/>
  <c r="CN15" i="3"/>
  <c r="CN16" i="3" s="1"/>
  <c r="CO15" i="3"/>
  <c r="CO16" i="3" s="1"/>
  <c r="CP15" i="3"/>
  <c r="CP16" i="3" s="1"/>
  <c r="CQ15" i="3"/>
  <c r="CQ16" i="3" s="1"/>
  <c r="CR15" i="3"/>
  <c r="CR16" i="3" s="1"/>
  <c r="CS15" i="3"/>
  <c r="CT15" i="3"/>
  <c r="CT16" i="3" s="1"/>
  <c r="CU15" i="3"/>
  <c r="CU16" i="3" s="1"/>
  <c r="CV15" i="3"/>
  <c r="CV16" i="3" s="1"/>
  <c r="CW15" i="3"/>
  <c r="CW16" i="3" s="1"/>
  <c r="CX15" i="3"/>
  <c r="CX16" i="3" s="1"/>
  <c r="CY15" i="3"/>
  <c r="CY16" i="3" s="1"/>
  <c r="CZ15" i="3"/>
  <c r="CZ16" i="3" s="1"/>
  <c r="DA15" i="3"/>
  <c r="DA16" i="3" s="1"/>
  <c r="DB15" i="3"/>
  <c r="DB16" i="3" s="1"/>
  <c r="DC15" i="3"/>
  <c r="DC16" i="3" s="1"/>
  <c r="DD15" i="3"/>
  <c r="DD16" i="3" s="1"/>
  <c r="DE15" i="3"/>
  <c r="DE16" i="3" s="1"/>
  <c r="DF15" i="3"/>
  <c r="DF16" i="3" s="1"/>
  <c r="DG15" i="3"/>
  <c r="DG16" i="3" s="1"/>
  <c r="DH15" i="3"/>
  <c r="DH16" i="3" s="1"/>
  <c r="DI15" i="3"/>
  <c r="DI16" i="3" s="1"/>
  <c r="DJ15" i="3"/>
  <c r="DJ16" i="3" s="1"/>
  <c r="DK15" i="3"/>
  <c r="DK16" i="3" s="1"/>
  <c r="DL15" i="3"/>
  <c r="DL16" i="3" s="1"/>
  <c r="DM15" i="3"/>
  <c r="DM16" i="3" s="1"/>
  <c r="DN15" i="3"/>
  <c r="DN16" i="3" s="1"/>
  <c r="DO15" i="3"/>
  <c r="DO16" i="3" s="1"/>
  <c r="DP15" i="3"/>
  <c r="DP16" i="3" s="1"/>
  <c r="DQ15" i="3"/>
  <c r="DQ16" i="3" s="1"/>
  <c r="DR15" i="3"/>
  <c r="DR16" i="3" s="1"/>
  <c r="DS15" i="3"/>
  <c r="DS16" i="3" s="1"/>
  <c r="DT15" i="3"/>
  <c r="DT16" i="3" s="1"/>
  <c r="DU15" i="3"/>
  <c r="DU16" i="3" s="1"/>
  <c r="DV15" i="3"/>
  <c r="DV16" i="3" s="1"/>
  <c r="DW15" i="3"/>
  <c r="DW16" i="3" s="1"/>
  <c r="DX15" i="3"/>
  <c r="DX16" i="3" s="1"/>
  <c r="DY15" i="3"/>
  <c r="DY16" i="3" s="1"/>
  <c r="DZ15" i="3"/>
  <c r="DZ16" i="3" s="1"/>
  <c r="EA15" i="3"/>
  <c r="EA16" i="3" s="1"/>
  <c r="EB15" i="3"/>
  <c r="EB16" i="3" s="1"/>
  <c r="EC15" i="3"/>
  <c r="EC16" i="3" s="1"/>
  <c r="ED15" i="3"/>
  <c r="ED16" i="3" s="1"/>
  <c r="EE15" i="3"/>
  <c r="EE16" i="3" s="1"/>
  <c r="EF15" i="3"/>
  <c r="EF16" i="3" s="1"/>
  <c r="EG15" i="3"/>
  <c r="EG16" i="3" s="1"/>
  <c r="EH15" i="3"/>
  <c r="EH16" i="3" s="1"/>
  <c r="EI15" i="3"/>
  <c r="EI16" i="3" s="1"/>
  <c r="EJ15" i="3"/>
  <c r="EJ16" i="3" s="1"/>
  <c r="EK15" i="3"/>
  <c r="EK16" i="3" s="1"/>
  <c r="EL15" i="3"/>
  <c r="EL16" i="3" s="1"/>
  <c r="EM15" i="3"/>
  <c r="EM16" i="3" s="1"/>
  <c r="EN15" i="3"/>
  <c r="EN16" i="3" s="1"/>
  <c r="EO15" i="3"/>
  <c r="EO16" i="3" s="1"/>
  <c r="EP15" i="3"/>
  <c r="EP16" i="3" s="1"/>
  <c r="EQ15" i="3"/>
  <c r="EQ16" i="3" s="1"/>
  <c r="ER15" i="3"/>
  <c r="ER16" i="3" s="1"/>
  <c r="ES15" i="3"/>
  <c r="ES16" i="3" s="1"/>
  <c r="ET15" i="3"/>
  <c r="ET16" i="3" s="1"/>
  <c r="EU15" i="3"/>
  <c r="EU16" i="3" s="1"/>
  <c r="EV15" i="3"/>
  <c r="EV16" i="3" s="1"/>
  <c r="EW15" i="3"/>
  <c r="EW16" i="3" s="1"/>
  <c r="EX15" i="3"/>
  <c r="EX16" i="3" s="1"/>
  <c r="EY15" i="3"/>
  <c r="EY16" i="3" s="1"/>
  <c r="EZ15" i="3"/>
  <c r="EZ16" i="3" s="1"/>
  <c r="FA15" i="3"/>
  <c r="FA16" i="3" s="1"/>
  <c r="FB15" i="3"/>
  <c r="FB16" i="3" s="1"/>
  <c r="FC15" i="3"/>
  <c r="FC16" i="3" s="1"/>
  <c r="FD15" i="3"/>
  <c r="FD16" i="3" s="1"/>
  <c r="FE15" i="3"/>
  <c r="FE16" i="3" s="1"/>
  <c r="FF15" i="3"/>
  <c r="FF16" i="3" s="1"/>
  <c r="FG15" i="3"/>
  <c r="FG16" i="3" s="1"/>
  <c r="FH15" i="3"/>
  <c r="FH16" i="3" s="1"/>
  <c r="FI15" i="3"/>
  <c r="FI16" i="3" s="1"/>
  <c r="FJ15" i="3"/>
  <c r="FJ16" i="3" s="1"/>
  <c r="FK15" i="3"/>
  <c r="FK16" i="3" s="1"/>
  <c r="FL15" i="3"/>
  <c r="FL16" i="3" s="1"/>
  <c r="FM15" i="3"/>
  <c r="FM16" i="3" s="1"/>
  <c r="FN15" i="3"/>
  <c r="FN16" i="3" s="1"/>
  <c r="FO15" i="3"/>
  <c r="FO16" i="3" s="1"/>
  <c r="FP15" i="3"/>
  <c r="FP16" i="3" s="1"/>
  <c r="FQ15" i="3"/>
  <c r="FQ16" i="3" s="1"/>
  <c r="FR15" i="3"/>
  <c r="FR16" i="3" s="1"/>
  <c r="FS15" i="3"/>
  <c r="FS16" i="3" s="1"/>
  <c r="FT15" i="3"/>
  <c r="FT16" i="3" s="1"/>
  <c r="FU15" i="3"/>
  <c r="FU16" i="3" s="1"/>
  <c r="FV15" i="3"/>
  <c r="FV16" i="3" s="1"/>
  <c r="FW15" i="3"/>
  <c r="FW16" i="3" s="1"/>
  <c r="FX15" i="3"/>
  <c r="FX16" i="3" s="1"/>
  <c r="FY15" i="3"/>
  <c r="FY16" i="3" s="1"/>
  <c r="FZ15" i="3"/>
  <c r="FZ16" i="3" s="1"/>
  <c r="GA15" i="3"/>
  <c r="GA16" i="3" s="1"/>
  <c r="GB15" i="3"/>
  <c r="GB16" i="3" s="1"/>
  <c r="GC15" i="3"/>
  <c r="GC16" i="3" s="1"/>
  <c r="GD15" i="3"/>
  <c r="GD16" i="3" s="1"/>
  <c r="GE15" i="3"/>
  <c r="GE16" i="3" s="1"/>
  <c r="GF15" i="3"/>
  <c r="GF16" i="3" s="1"/>
  <c r="GG15" i="3"/>
  <c r="GG16" i="3" s="1"/>
  <c r="A21" i="3"/>
  <c r="A20" i="3"/>
  <c r="A15" i="3"/>
  <c r="A14" i="3"/>
  <c r="K2" i="2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DE9" i="3"/>
  <c r="DF9" i="3"/>
  <c r="DG9" i="3"/>
  <c r="DH9" i="3"/>
  <c r="DI9" i="3"/>
  <c r="DJ9" i="3"/>
  <c r="DK9" i="3"/>
  <c r="DL9" i="3"/>
  <c r="DM9" i="3"/>
  <c r="DN9" i="3"/>
  <c r="DO9" i="3"/>
  <c r="DP9" i="3"/>
  <c r="DQ9" i="3"/>
  <c r="DR9" i="3"/>
  <c r="DS9" i="3"/>
  <c r="DT9" i="3"/>
  <c r="DU9" i="3"/>
  <c r="DV9" i="3"/>
  <c r="DW9" i="3"/>
  <c r="DX9" i="3"/>
  <c r="DY9" i="3"/>
  <c r="DZ9" i="3"/>
  <c r="EA9" i="3"/>
  <c r="EB9" i="3"/>
  <c r="EC9" i="3"/>
  <c r="ED9" i="3"/>
  <c r="EE9" i="3"/>
  <c r="EF9" i="3"/>
  <c r="EG9" i="3"/>
  <c r="EH9" i="3"/>
  <c r="EI9" i="3"/>
  <c r="EJ9" i="3"/>
  <c r="EK9" i="3"/>
  <c r="EL9" i="3"/>
  <c r="EM9" i="3"/>
  <c r="EN9" i="3"/>
  <c r="EO9" i="3"/>
  <c r="EP9" i="3"/>
  <c r="EQ9" i="3"/>
  <c r="ER9" i="3"/>
  <c r="ES9" i="3"/>
  <c r="ET9" i="3"/>
  <c r="EU9" i="3"/>
  <c r="EV9" i="3"/>
  <c r="EW9" i="3"/>
  <c r="EX9" i="3"/>
  <c r="EY9" i="3"/>
  <c r="EZ9" i="3"/>
  <c r="FA9" i="3"/>
  <c r="FB9" i="3"/>
  <c r="FC9" i="3"/>
  <c r="FD9" i="3"/>
  <c r="FE9" i="3"/>
  <c r="FF9" i="3"/>
  <c r="FG9" i="3"/>
  <c r="FH9" i="3"/>
  <c r="FI9" i="3"/>
  <c r="FJ9" i="3"/>
  <c r="FK9" i="3"/>
  <c r="FL9" i="3"/>
  <c r="FM9" i="3"/>
  <c r="FN9" i="3"/>
  <c r="FO9" i="3"/>
  <c r="FP9" i="3"/>
  <c r="FQ9" i="3"/>
  <c r="FR9" i="3"/>
  <c r="FS9" i="3"/>
  <c r="FT9" i="3"/>
  <c r="FU9" i="3"/>
  <c r="FV9" i="3"/>
  <c r="FW9" i="3"/>
  <c r="FX9" i="3"/>
  <c r="FY9" i="3"/>
  <c r="FZ9" i="3"/>
  <c r="GA9" i="3"/>
  <c r="GB9" i="3"/>
  <c r="GC9" i="3"/>
  <c r="GD9" i="3"/>
  <c r="GE9" i="3"/>
  <c r="GF9" i="3"/>
  <c r="GG9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DE8" i="3"/>
  <c r="DF8" i="3"/>
  <c r="DG8" i="3"/>
  <c r="DH8" i="3"/>
  <c r="DI8" i="3"/>
  <c r="DJ8" i="3"/>
  <c r="DK8" i="3"/>
  <c r="DL8" i="3"/>
  <c r="DM8" i="3"/>
  <c r="DN8" i="3"/>
  <c r="DO8" i="3"/>
  <c r="DP8" i="3"/>
  <c r="DQ8" i="3"/>
  <c r="DR8" i="3"/>
  <c r="DS8" i="3"/>
  <c r="DT8" i="3"/>
  <c r="DU8" i="3"/>
  <c r="DV8" i="3"/>
  <c r="DW8" i="3"/>
  <c r="DX8" i="3"/>
  <c r="DY8" i="3"/>
  <c r="DZ8" i="3"/>
  <c r="EA8" i="3"/>
  <c r="EB8" i="3"/>
  <c r="EC8" i="3"/>
  <c r="ED8" i="3"/>
  <c r="EE8" i="3"/>
  <c r="EF8" i="3"/>
  <c r="EG8" i="3"/>
  <c r="EH8" i="3"/>
  <c r="EI8" i="3"/>
  <c r="EJ8" i="3"/>
  <c r="EK8" i="3"/>
  <c r="EL8" i="3"/>
  <c r="EM8" i="3"/>
  <c r="EN8" i="3"/>
  <c r="EO8" i="3"/>
  <c r="EP8" i="3"/>
  <c r="EQ8" i="3"/>
  <c r="ER8" i="3"/>
  <c r="ES8" i="3"/>
  <c r="ET8" i="3"/>
  <c r="EU8" i="3"/>
  <c r="EV8" i="3"/>
  <c r="EW8" i="3"/>
  <c r="EX8" i="3"/>
  <c r="EY8" i="3"/>
  <c r="EZ8" i="3"/>
  <c r="FA8" i="3"/>
  <c r="FB8" i="3"/>
  <c r="FC8" i="3"/>
  <c r="FD8" i="3"/>
  <c r="FE8" i="3"/>
  <c r="FF8" i="3"/>
  <c r="FG8" i="3"/>
  <c r="FH8" i="3"/>
  <c r="FI8" i="3"/>
  <c r="FJ8" i="3"/>
  <c r="FK8" i="3"/>
  <c r="FL8" i="3"/>
  <c r="FM8" i="3"/>
  <c r="FN8" i="3"/>
  <c r="FO8" i="3"/>
  <c r="FP8" i="3"/>
  <c r="FQ8" i="3"/>
  <c r="FR8" i="3"/>
  <c r="FS8" i="3"/>
  <c r="FT8" i="3"/>
  <c r="FU8" i="3"/>
  <c r="FV8" i="3"/>
  <c r="FW8" i="3"/>
  <c r="FX8" i="3"/>
  <c r="FY8" i="3"/>
  <c r="FZ8" i="3"/>
  <c r="GA8" i="3"/>
  <c r="GB8" i="3"/>
  <c r="GC8" i="3"/>
  <c r="GD8" i="3"/>
  <c r="GE8" i="3"/>
  <c r="GF8" i="3"/>
  <c r="GG8" i="3"/>
  <c r="A9" i="3"/>
  <c r="A8" i="3"/>
  <c r="A5" i="2"/>
  <c r="A3" i="3"/>
  <c r="CS16" i="3" l="1"/>
  <c r="H32" i="3"/>
  <c r="A32" i="3"/>
  <c r="H26" i="3"/>
  <c r="A26" i="3"/>
  <c r="K33" i="3"/>
  <c r="D33" i="3"/>
  <c r="K29" i="3"/>
  <c r="D29" i="3"/>
  <c r="H33" i="3"/>
  <c r="A33" i="3"/>
  <c r="H29" i="3"/>
  <c r="A29" i="3"/>
  <c r="K31" i="3"/>
  <c r="D31" i="3"/>
  <c r="K27" i="3"/>
  <c r="D27" i="3"/>
  <c r="H31" i="3"/>
  <c r="A31" i="3"/>
  <c r="H27" i="3"/>
  <c r="A27" i="3"/>
  <c r="AB22" i="3"/>
  <c r="K32" i="3"/>
  <c r="D32" i="3"/>
  <c r="K28" i="3"/>
  <c r="D28" i="3"/>
  <c r="H28" i="3"/>
  <c r="A28" i="3"/>
  <c r="K30" i="3"/>
  <c r="D30" i="3"/>
  <c r="K26" i="3"/>
  <c r="D26" i="3"/>
  <c r="H30" i="3"/>
  <c r="A30" i="3"/>
  <c r="D22" i="3"/>
  <c r="H22" i="3"/>
  <c r="FW10" i="3"/>
  <c r="EQ10" i="3"/>
  <c r="DK10" i="3"/>
  <c r="CE10" i="3"/>
  <c r="EA10" i="3"/>
  <c r="DG10" i="3"/>
  <c r="CU10" i="3"/>
  <c r="FS10" i="3"/>
  <c r="FG10" i="3"/>
  <c r="DW10" i="3"/>
  <c r="CQ10" i="3"/>
  <c r="BK10" i="3"/>
  <c r="FC10" i="3"/>
  <c r="EM10" i="3"/>
  <c r="CA10" i="3"/>
  <c r="BO10" i="3"/>
  <c r="GE10" i="3"/>
  <c r="FK10" i="3"/>
  <c r="EU10" i="3"/>
  <c r="EE10" i="3"/>
  <c r="DO10" i="3"/>
  <c r="CY10" i="3"/>
  <c r="CM10" i="3"/>
  <c r="BW10" i="3"/>
  <c r="BG10" i="3"/>
  <c r="GA10" i="3"/>
  <c r="FO10" i="3"/>
  <c r="EY10" i="3"/>
  <c r="EI10" i="3"/>
  <c r="DS10" i="3"/>
  <c r="DC10" i="3"/>
  <c r="CI10" i="3"/>
  <c r="BS10" i="3"/>
  <c r="GD10" i="3"/>
  <c r="FZ10" i="3"/>
  <c r="FV10" i="3"/>
  <c r="FR10" i="3"/>
  <c r="FN10" i="3"/>
  <c r="FJ10" i="3"/>
  <c r="FF10" i="3"/>
  <c r="FB10" i="3"/>
  <c r="EX10" i="3"/>
  <c r="ET10" i="3"/>
  <c r="EP10" i="3"/>
  <c r="EL10" i="3"/>
  <c r="EH10" i="3"/>
  <c r="ED10" i="3"/>
  <c r="DZ10" i="3"/>
  <c r="DV10" i="3"/>
  <c r="DR10" i="3"/>
  <c r="DN10" i="3"/>
  <c r="DJ10" i="3"/>
  <c r="DF10" i="3"/>
  <c r="DB10" i="3"/>
  <c r="CX10" i="3"/>
  <c r="CT10" i="3"/>
  <c r="CP10" i="3"/>
  <c r="CL10" i="3"/>
  <c r="CH10" i="3"/>
  <c r="CD10" i="3"/>
  <c r="BZ10" i="3"/>
  <c r="BV10" i="3"/>
  <c r="BR10" i="3"/>
  <c r="BN10" i="3"/>
  <c r="BJ10" i="3"/>
  <c r="FP10" i="3"/>
  <c r="BF10" i="3"/>
  <c r="GG10" i="3"/>
  <c r="GC10" i="3"/>
  <c r="FY10" i="3"/>
  <c r="FU10" i="3"/>
  <c r="FQ10" i="3"/>
  <c r="FM10" i="3"/>
  <c r="FI10" i="3"/>
  <c r="FE10" i="3"/>
  <c r="FA10" i="3"/>
  <c r="EW10" i="3"/>
  <c r="ES10" i="3"/>
  <c r="EO10" i="3"/>
  <c r="EK10" i="3"/>
  <c r="EG10" i="3"/>
  <c r="EC10" i="3"/>
  <c r="DY10" i="3"/>
  <c r="DU10" i="3"/>
  <c r="DQ10" i="3"/>
  <c r="DM10" i="3"/>
  <c r="DI10" i="3"/>
  <c r="DE10" i="3"/>
  <c r="DA10" i="3"/>
  <c r="CW10" i="3"/>
  <c r="CS10" i="3"/>
  <c r="CO10" i="3"/>
  <c r="CK10" i="3"/>
  <c r="CG10" i="3"/>
  <c r="CC10" i="3"/>
  <c r="BY10" i="3"/>
  <c r="BU10" i="3"/>
  <c r="BQ10" i="3"/>
  <c r="BM10" i="3"/>
  <c r="BI10" i="3"/>
  <c r="BE10" i="3"/>
  <c r="AD16" i="3"/>
  <c r="GF10" i="3"/>
  <c r="GB10" i="3"/>
  <c r="FX10" i="3"/>
  <c r="FT10" i="3"/>
  <c r="FL10" i="3"/>
  <c r="FH10" i="3"/>
  <c r="FD10" i="3"/>
  <c r="EZ10" i="3"/>
  <c r="EV10" i="3"/>
  <c r="ER10" i="3"/>
  <c r="EN10" i="3"/>
  <c r="EJ10" i="3"/>
  <c r="EF10" i="3"/>
  <c r="EB10" i="3"/>
  <c r="DX10" i="3"/>
  <c r="DT10" i="3"/>
  <c r="DP10" i="3"/>
  <c r="DL10" i="3"/>
  <c r="DH10" i="3"/>
  <c r="DD10" i="3"/>
  <c r="CZ10" i="3"/>
  <c r="CV10" i="3"/>
  <c r="CR10" i="3"/>
  <c r="CN10" i="3"/>
  <c r="CJ10" i="3"/>
  <c r="CF10" i="3"/>
  <c r="CB10" i="3"/>
  <c r="BX10" i="3"/>
  <c r="BT10" i="3"/>
  <c r="BP10" i="3"/>
  <c r="BL10" i="3"/>
  <c r="BH10" i="3"/>
  <c r="A16" i="3"/>
  <c r="AY10" i="3"/>
  <c r="AI10" i="3"/>
  <c r="W10" i="3"/>
  <c r="O10" i="3"/>
  <c r="K10" i="3"/>
  <c r="C10" i="3"/>
  <c r="BC10" i="3"/>
  <c r="AU10" i="3"/>
  <c r="AM10" i="3"/>
  <c r="AA10" i="3"/>
  <c r="S10" i="3"/>
  <c r="G10" i="3"/>
  <c r="A22" i="3"/>
  <c r="AQ10" i="3"/>
  <c r="AE10" i="3"/>
  <c r="A10" i="3"/>
  <c r="BB10" i="3"/>
  <c r="AX10" i="3"/>
  <c r="AT10" i="3"/>
  <c r="AP10" i="3"/>
  <c r="AL10" i="3"/>
  <c r="AH10" i="3"/>
  <c r="AD10" i="3"/>
  <c r="Z10" i="3"/>
  <c r="V10" i="3"/>
  <c r="R10" i="3"/>
  <c r="N10" i="3"/>
  <c r="J10" i="3"/>
  <c r="F10" i="3"/>
  <c r="B10" i="3"/>
  <c r="BA10" i="3"/>
  <c r="AW10" i="3"/>
  <c r="AS10" i="3"/>
  <c r="AO10" i="3"/>
  <c r="AK10" i="3"/>
  <c r="AG10" i="3"/>
  <c r="AC10" i="3"/>
  <c r="Y10" i="3"/>
  <c r="U10" i="3"/>
  <c r="Q10" i="3"/>
  <c r="M10" i="3"/>
  <c r="I10" i="3"/>
  <c r="E10" i="3"/>
  <c r="BD10" i="3"/>
  <c r="AZ10" i="3"/>
  <c r="AV10" i="3"/>
  <c r="AR10" i="3"/>
  <c r="AN10" i="3"/>
  <c r="AJ10" i="3"/>
  <c r="AF10" i="3"/>
  <c r="AB10" i="3"/>
  <c r="X10" i="3"/>
  <c r="T10" i="3"/>
  <c r="P10" i="3"/>
  <c r="L10" i="3"/>
  <c r="H10" i="3"/>
  <c r="D10" i="3"/>
  <c r="A9" i="2"/>
  <c r="B14" i="2"/>
  <c r="G9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27" i="2"/>
  <c r="F9" i="2"/>
  <c r="A13" i="2" l="1"/>
  <c r="C14" i="2" s="1"/>
  <c r="E10" i="2" s="1"/>
  <c r="D14" i="2"/>
  <c r="F10" i="2"/>
  <c r="B5" i="2"/>
  <c r="B17" i="2"/>
  <c r="E14" i="2" l="1"/>
  <c r="G10" i="2" s="1"/>
  <c r="L13" i="2"/>
  <c r="D5" i="3" s="1"/>
  <c r="FI22" i="2"/>
  <c r="CW17" i="2"/>
  <c r="CW22" i="2"/>
  <c r="AF17" i="2"/>
  <c r="CJ18" i="2"/>
  <c r="CE25" i="2"/>
  <c r="EB25" i="2"/>
  <c r="P17" i="2"/>
  <c r="CO22" i="2"/>
  <c r="F17" i="2"/>
  <c r="DC25" i="2"/>
  <c r="J18" i="2"/>
  <c r="DH17" i="2"/>
  <c r="EW17" i="2"/>
  <c r="DC17" i="2"/>
  <c r="GN22" i="2"/>
  <c r="FO17" i="2"/>
  <c r="BO17" i="2"/>
  <c r="CL22" i="2"/>
  <c r="FY17" i="2"/>
  <c r="FG17" i="2"/>
  <c r="EI17" i="2"/>
  <c r="DA18" i="2"/>
  <c r="AM17" i="2"/>
  <c r="GQ17" i="2"/>
  <c r="ES17" i="2"/>
  <c r="EY18" i="2"/>
  <c r="FF22" i="2"/>
  <c r="EU25" i="2"/>
  <c r="A17" i="2"/>
  <c r="FU18" i="2"/>
  <c r="AF22" i="2"/>
  <c r="EL22" i="2"/>
  <c r="EP22" i="2"/>
  <c r="L18" i="2"/>
  <c r="DH25" i="2"/>
  <c r="BI18" i="2"/>
  <c r="Z25" i="2"/>
  <c r="ET17" i="2"/>
  <c r="CK22" i="2"/>
  <c r="EV25" i="2"/>
  <c r="CS22" i="2"/>
  <c r="AZ22" i="2"/>
  <c r="GI22" i="2"/>
  <c r="GZ18" i="2"/>
  <c r="BR22" i="2"/>
  <c r="GX18" i="2"/>
  <c r="CZ22" i="2"/>
  <c r="AG22" i="2"/>
  <c r="CH17" i="2"/>
  <c r="GI18" i="2"/>
  <c r="CP22" i="2"/>
  <c r="N17" i="2"/>
  <c r="AU25" i="2"/>
  <c r="BS18" i="2"/>
  <c r="EP25" i="2"/>
  <c r="FN22" i="2"/>
  <c r="EK18" i="2"/>
  <c r="E25" i="2"/>
  <c r="DO18" i="2"/>
  <c r="AP17" i="2"/>
  <c r="CT22" i="2"/>
  <c r="E17" i="2"/>
  <c r="AX18" i="2"/>
  <c r="EP18" i="2"/>
  <c r="GS25" i="2"/>
  <c r="GH22" i="2"/>
  <c r="DI17" i="2"/>
  <c r="AS17" i="2"/>
  <c r="GE18" i="2"/>
  <c r="DL17" i="2"/>
  <c r="AP18" i="2"/>
  <c r="GR17" i="2"/>
  <c r="DL25" i="2"/>
  <c r="BW22" i="2"/>
  <c r="CG25" i="2"/>
  <c r="FJ22" i="2"/>
  <c r="U17" i="2"/>
  <c r="EQ17" i="2"/>
  <c r="GY18" i="2"/>
  <c r="AQ22" i="2"/>
  <c r="AZ17" i="2"/>
  <c r="DI25" i="2"/>
  <c r="CN17" i="2"/>
  <c r="FR25" i="2"/>
  <c r="DF22" i="2"/>
  <c r="Q18" i="2"/>
  <c r="EN22" i="2"/>
  <c r="BH18" i="2"/>
  <c r="CT18" i="2"/>
  <c r="DY25" i="2"/>
  <c r="FM22" i="2"/>
  <c r="EN18" i="2"/>
  <c r="DU18" i="2"/>
  <c r="CG22" i="2"/>
  <c r="CK18" i="2"/>
  <c r="FW22" i="2"/>
  <c r="AT17" i="2"/>
  <c r="GD22" i="2"/>
  <c r="CY17" i="2"/>
  <c r="CC18" i="2"/>
  <c r="FM25" i="2"/>
  <c r="GX17" i="2"/>
  <c r="BN17" i="2"/>
  <c r="CF25" i="2"/>
  <c r="EM17" i="2"/>
  <c r="CZ17" i="2"/>
  <c r="DB22" i="2"/>
  <c r="GA18" i="2"/>
  <c r="FS17" i="2"/>
  <c r="AT22" i="2"/>
  <c r="BA18" i="2"/>
  <c r="CT17" i="2"/>
  <c r="DM25" i="2"/>
  <c r="BQ22" i="2"/>
  <c r="AI18" i="2"/>
  <c r="CS17" i="2"/>
  <c r="X25" i="2"/>
  <c r="EB22" i="2"/>
  <c r="CE17" i="2"/>
  <c r="FJ17" i="2"/>
  <c r="EJ25" i="2"/>
  <c r="DV17" i="2"/>
  <c r="FV17" i="2"/>
  <c r="EF17" i="2"/>
  <c r="DV25" i="2"/>
  <c r="BE17" i="2"/>
  <c r="CY18" i="2"/>
  <c r="GT17" i="2"/>
  <c r="DT18" i="2"/>
  <c r="FX25" i="2"/>
  <c r="ET18" i="2"/>
  <c r="EC17" i="2"/>
  <c r="EJ17" i="2"/>
  <c r="BW18" i="2"/>
  <c r="BV25" i="2"/>
  <c r="AE22" i="2"/>
  <c r="CC17" i="2"/>
  <c r="X17" i="2"/>
  <c r="FY22" i="2"/>
  <c r="AN17" i="2"/>
  <c r="FX18" i="2"/>
  <c r="AL22" i="2"/>
  <c r="EZ22" i="2"/>
  <c r="GI17" i="2"/>
  <c r="FY18" i="2"/>
  <c r="AD18" i="2"/>
  <c r="FJ25" i="2"/>
  <c r="FK17" i="2"/>
  <c r="EI25" i="2"/>
  <c r="DG25" i="2"/>
  <c r="FO22" i="2"/>
  <c r="GB17" i="2"/>
  <c r="FI17" i="2"/>
  <c r="BZ17" i="2"/>
  <c r="BJ18" i="2"/>
  <c r="BR25" i="2"/>
  <c r="GJ18" i="2"/>
  <c r="AM18" i="2"/>
  <c r="GH18" i="2"/>
  <c r="BP25" i="2"/>
  <c r="FD22" i="2"/>
  <c r="BR17" i="2"/>
  <c r="DH22" i="2"/>
  <c r="BU25" i="2"/>
  <c r="V25" i="2"/>
  <c r="AB25" i="2"/>
  <c r="FB25" i="2"/>
  <c r="EE18" i="2"/>
  <c r="FG22" i="2"/>
  <c r="V18" i="2"/>
  <c r="M17" i="2"/>
  <c r="F22" i="2"/>
  <c r="J22" i="2"/>
  <c r="FP18" i="2"/>
  <c r="GJ17" i="2"/>
  <c r="H17" i="2"/>
  <c r="Z17" i="2"/>
  <c r="GM17" i="2"/>
  <c r="M22" i="2"/>
  <c r="GN18" i="2"/>
  <c r="AO25" i="2"/>
  <c r="BB18" i="2"/>
  <c r="AE17" i="2"/>
  <c r="CP18" i="2"/>
  <c r="CE18" i="2"/>
  <c r="BZ22" i="2"/>
  <c r="AQ17" i="2"/>
  <c r="EU22" i="2"/>
  <c r="EV22" i="2"/>
  <c r="FN17" i="2"/>
  <c r="GZ25" i="2"/>
  <c r="BC22" i="2"/>
  <c r="AD22" i="2"/>
  <c r="BV22" i="2"/>
  <c r="FI25" i="2"/>
  <c r="DS17" i="2"/>
  <c r="E18" i="2"/>
  <c r="R22" i="2"/>
  <c r="EL18" i="2"/>
  <c r="K25" i="2"/>
  <c r="DZ17" i="2"/>
  <c r="AJ18" i="2"/>
  <c r="DP18" i="2"/>
  <c r="CC22" i="2"/>
  <c r="FT17" i="2"/>
  <c r="GW18" i="2"/>
  <c r="FY25" i="2"/>
  <c r="BF18" i="2"/>
  <c r="FQ17" i="2"/>
  <c r="DD25" i="2"/>
  <c r="FU22" i="2"/>
  <c r="ET25" i="2"/>
  <c r="GP22" i="2"/>
  <c r="FQ18" i="2"/>
  <c r="DY18" i="2"/>
  <c r="BV18" i="2"/>
  <c r="EH18" i="2"/>
  <c r="CK17" i="2"/>
  <c r="BK25" i="2"/>
  <c r="CH18" i="2"/>
  <c r="FU25" i="2"/>
  <c r="GP17" i="2"/>
  <c r="AS25" i="2"/>
  <c r="EC18" i="2"/>
  <c r="CM17" i="2"/>
  <c r="DE17" i="2"/>
  <c r="BN25" i="2"/>
  <c r="EG17" i="2"/>
  <c r="CF18" i="2"/>
  <c r="FS25" i="2"/>
  <c r="FW18" i="2"/>
  <c r="GW17" i="2"/>
  <c r="AJ17" i="2"/>
  <c r="AJ22" i="2"/>
  <c r="FA18" i="2"/>
  <c r="CM22" i="2"/>
  <c r="GJ25" i="2"/>
  <c r="BM22" i="2"/>
  <c r="EG22" i="2"/>
  <c r="H18" i="2"/>
  <c r="O22" i="2"/>
  <c r="GD17" i="2"/>
  <c r="CA25" i="2"/>
  <c r="AP25" i="2"/>
  <c r="CQ17" i="2"/>
  <c r="FL17" i="2"/>
  <c r="GN25" i="2"/>
  <c r="DZ25" i="2"/>
  <c r="EI18" i="2"/>
  <c r="BO18" i="2"/>
  <c r="GV22" i="2"/>
  <c r="U18" i="2"/>
  <c r="Y25" i="2"/>
  <c r="DF17" i="2"/>
  <c r="FQ25" i="2"/>
  <c r="GU25" i="2"/>
  <c r="EA22" i="2"/>
  <c r="GR25" i="2"/>
  <c r="FG25" i="2"/>
  <c r="CD17" i="2"/>
  <c r="AY22" i="2"/>
  <c r="GK25" i="2"/>
  <c r="CX18" i="2"/>
  <c r="EL17" i="2"/>
  <c r="F25" i="2"/>
  <c r="T25" i="2"/>
  <c r="EV17" i="2"/>
  <c r="FK18" i="2"/>
  <c r="BX25" i="2"/>
  <c r="BS22" i="2"/>
  <c r="FR17" i="2"/>
  <c r="AC17" i="2"/>
  <c r="GL18" i="2"/>
  <c r="O17" i="2"/>
  <c r="AR25" i="2"/>
  <c r="GE17" i="2"/>
  <c r="BU18" i="2"/>
  <c r="DS25" i="2"/>
  <c r="AD25" i="2"/>
  <c r="AL17" i="2"/>
  <c r="DW18" i="2"/>
  <c r="DT25" i="2"/>
  <c r="FS18" i="2"/>
  <c r="FA22" i="2"/>
  <c r="BG18" i="2"/>
  <c r="DG17" i="2"/>
  <c r="FR18" i="2"/>
  <c r="DM17" i="2"/>
  <c r="GE25" i="2"/>
  <c r="S17" i="2"/>
  <c r="BL22" i="2"/>
  <c r="FV25" i="2"/>
  <c r="U22" i="2"/>
  <c r="AM25" i="2"/>
  <c r="DS18" i="2"/>
  <c r="N13" i="2"/>
  <c r="FT25" i="2"/>
  <c r="DH18" i="2"/>
  <c r="GA17" i="2"/>
  <c r="EG25" i="2"/>
  <c r="CH22" i="2"/>
  <c r="BN22" i="2"/>
  <c r="FX17" i="2"/>
  <c r="FL18" i="2"/>
  <c r="CY25" i="2"/>
  <c r="U25" i="2"/>
  <c r="I17" i="2"/>
  <c r="P22" i="2"/>
  <c r="AA22" i="2"/>
  <c r="GD18" i="2"/>
  <c r="DW22" i="2"/>
  <c r="EQ18" i="2"/>
  <c r="AZ25" i="2"/>
  <c r="CR22" i="2"/>
  <c r="AZ18" i="2"/>
  <c r="DS22" i="2"/>
  <c r="CQ22" i="2"/>
  <c r="BC18" i="2"/>
  <c r="DP17" i="2"/>
  <c r="EK25" i="2"/>
  <c r="CJ17" i="2"/>
  <c r="FB22" i="2"/>
  <c r="CU25" i="2"/>
  <c r="BA25" i="2"/>
  <c r="GY17" i="2"/>
  <c r="ER17" i="2"/>
  <c r="CU17" i="2"/>
  <c r="GW22" i="2"/>
  <c r="EX25" i="2"/>
  <c r="DW25" i="2"/>
  <c r="FF25" i="2"/>
  <c r="BG25" i="2"/>
  <c r="B25" i="2"/>
  <c r="GC17" i="2"/>
  <c r="R18" i="2"/>
  <c r="EP17" i="2"/>
  <c r="CM25" i="2"/>
  <c r="BP18" i="2"/>
  <c r="DI22" i="2"/>
  <c r="L17" i="2"/>
  <c r="CL25" i="2"/>
  <c r="AK17" i="2"/>
  <c r="C18" i="2"/>
  <c r="GH25" i="2"/>
  <c r="G25" i="2"/>
  <c r="T17" i="2"/>
  <c r="K18" i="2"/>
  <c r="GB25" i="2"/>
  <c r="AU22" i="2"/>
  <c r="BK17" i="2"/>
  <c r="S25" i="2"/>
  <c r="AY25" i="2"/>
  <c r="GF18" i="2"/>
  <c r="DO25" i="2"/>
  <c r="AV22" i="2"/>
  <c r="AW18" i="2"/>
  <c r="GG22" i="2"/>
  <c r="BH25" i="2"/>
  <c r="Q25" i="2"/>
  <c r="N22" i="2"/>
  <c r="AF25" i="2"/>
  <c r="BY22" i="2"/>
  <c r="CV18" i="2"/>
  <c r="T18" i="2"/>
  <c r="DT17" i="2"/>
  <c r="GM18" i="2"/>
  <c r="O25" i="2"/>
  <c r="DW17" i="2"/>
  <c r="FO18" i="2"/>
  <c r="DM18" i="2"/>
  <c r="BX22" i="2"/>
  <c r="GU17" i="2"/>
  <c r="DV18" i="2"/>
  <c r="FT18" i="2"/>
  <c r="DC18" i="2"/>
  <c r="BY18" i="2"/>
  <c r="GF25" i="2"/>
  <c r="FV18" i="2"/>
  <c r="FP22" i="2"/>
  <c r="FC25" i="2"/>
  <c r="FT22" i="2"/>
  <c r="FZ17" i="2"/>
  <c r="EH17" i="2"/>
  <c r="CN25" i="2"/>
  <c r="BC17" i="2"/>
  <c r="FP25" i="2"/>
  <c r="BP22" i="2"/>
  <c r="W18" i="2"/>
  <c r="CJ25" i="2"/>
  <c r="AN18" i="2"/>
  <c r="GX25" i="2"/>
  <c r="G22" i="2"/>
  <c r="GX22" i="2"/>
  <c r="BY17" i="2"/>
  <c r="EG18" i="2"/>
  <c r="EW18" i="2"/>
  <c r="FF17" i="2"/>
  <c r="EK22" i="2"/>
  <c r="ED17" i="2"/>
  <c r="GV25" i="2"/>
  <c r="B18" i="2"/>
  <c r="DN18" i="2"/>
  <c r="GU22" i="2"/>
  <c r="FN25" i="2"/>
  <c r="BM18" i="2"/>
  <c r="CH25" i="2"/>
  <c r="EU18" i="2"/>
  <c r="DU22" i="2"/>
  <c r="DJ25" i="2"/>
  <c r="EO25" i="2"/>
  <c r="FK22" i="2"/>
  <c r="GC22" i="2"/>
  <c r="FV22" i="2"/>
  <c r="FC18" i="2"/>
  <c r="ES25" i="2"/>
  <c r="FJ18" i="2"/>
  <c r="DG18" i="2"/>
  <c r="AB18" i="2"/>
  <c r="GL22" i="2"/>
  <c r="ES22" i="2"/>
  <c r="AH25" i="2"/>
  <c r="BA22" i="2"/>
  <c r="AA17" i="2"/>
  <c r="AC22" i="2"/>
  <c r="FL22" i="2"/>
  <c r="FE25" i="2"/>
  <c r="GT22" i="2"/>
  <c r="CP25" i="2"/>
  <c r="CU18" i="2"/>
  <c r="AA25" i="2"/>
  <c r="G18" i="2"/>
  <c r="EQ22" i="2"/>
  <c r="FN18" i="2"/>
  <c r="M25" i="2"/>
  <c r="AN25" i="2"/>
  <c r="V17" i="2"/>
  <c r="W22" i="2"/>
  <c r="BM17" i="2"/>
  <c r="L22" i="2"/>
  <c r="BL18" i="2"/>
  <c r="E22" i="2"/>
  <c r="W17" i="2"/>
  <c r="T22" i="2"/>
  <c r="BX18" i="2"/>
  <c r="DK25" i="2"/>
  <c r="CV17" i="2"/>
  <c r="BV17" i="2"/>
  <c r="R17" i="2"/>
  <c r="BN18" i="2"/>
  <c r="GZ17" i="2"/>
  <c r="AI25" i="2"/>
  <c r="EQ25" i="2"/>
  <c r="CQ18" i="2"/>
  <c r="AY17" i="2"/>
  <c r="BR18" i="2"/>
  <c r="BF17" i="2"/>
  <c r="GO25" i="2"/>
  <c r="ES18" i="2"/>
  <c r="BA17" i="2"/>
  <c r="BT22" i="2"/>
  <c r="DD18" i="2"/>
  <c r="AQ18" i="2"/>
  <c r="DY22" i="2"/>
  <c r="BO22" i="2"/>
  <c r="A18" i="2"/>
  <c r="FB17" i="2"/>
  <c r="DF18" i="2"/>
  <c r="DB17" i="2"/>
  <c r="EF18" i="2"/>
  <c r="CN22" i="2"/>
  <c r="GE22" i="2"/>
  <c r="AO22" i="2"/>
  <c r="BQ25" i="2"/>
  <c r="V22" i="2"/>
  <c r="BE18" i="2"/>
  <c r="CI18" i="2"/>
  <c r="DQ25" i="2"/>
  <c r="ED25" i="2"/>
  <c r="AT18" i="2"/>
  <c r="Z18" i="2"/>
  <c r="EA17" i="2"/>
  <c r="AY18" i="2"/>
  <c r="DJ17" i="2"/>
  <c r="BY25" i="2"/>
  <c r="AG17" i="2"/>
  <c r="BD22" i="2"/>
  <c r="DJ18" i="2"/>
  <c r="CA22" i="2"/>
  <c r="DD17" i="2"/>
  <c r="EA18" i="2"/>
  <c r="DE22" i="2"/>
  <c r="DZ22" i="2"/>
  <c r="GM22" i="2"/>
  <c r="FZ25" i="2"/>
  <c r="AO17" i="2"/>
  <c r="Y17" i="2"/>
  <c r="GU18" i="2"/>
  <c r="FE22" i="2"/>
  <c r="BJ25" i="2"/>
  <c r="DB25" i="2"/>
  <c r="EL25" i="2"/>
  <c r="AU17" i="2"/>
  <c r="DX17" i="2"/>
  <c r="CU22" i="2"/>
  <c r="DY17" i="2"/>
  <c r="AT25" i="2"/>
  <c r="FQ22" i="2"/>
  <c r="DG22" i="2"/>
  <c r="P25" i="2"/>
  <c r="BL17" i="2"/>
  <c r="CD22" i="2"/>
  <c r="DJ22" i="2"/>
  <c r="S22" i="2"/>
  <c r="BW25" i="2"/>
  <c r="GO17" i="2"/>
  <c r="CB18" i="2"/>
  <c r="AE18" i="2"/>
  <c r="CX25" i="2"/>
  <c r="CZ25" i="2"/>
  <c r="CO25" i="2"/>
  <c r="FI18" i="2"/>
  <c r="FZ22" i="2"/>
  <c r="GB22" i="2"/>
  <c r="CT25" i="2"/>
  <c r="DP22" i="2"/>
  <c r="BB25" i="2"/>
  <c r="Q17" i="2"/>
  <c r="BK22" i="2"/>
  <c r="Q22" i="2"/>
  <c r="EM25" i="2"/>
  <c r="EV18" i="2"/>
  <c r="C22" i="2"/>
  <c r="AO18" i="2"/>
  <c r="I18" i="2"/>
  <c r="BO25" i="2"/>
  <c r="P13" i="2"/>
  <c r="BD25" i="2"/>
  <c r="CG18" i="2"/>
  <c r="FL25" i="2"/>
  <c r="BT18" i="2"/>
  <c r="S18" i="2"/>
  <c r="DX25" i="2"/>
  <c r="CV25" i="2"/>
  <c r="O18" i="2"/>
  <c r="BQ17" i="2"/>
  <c r="AC18" i="2"/>
  <c r="DL22" i="2"/>
  <c r="FH22" i="2"/>
  <c r="AG25" i="2"/>
  <c r="GL25" i="2"/>
  <c r="P18" i="2"/>
  <c r="CF22" i="2"/>
  <c r="CO17" i="2"/>
  <c r="CA18" i="2"/>
  <c r="EZ25" i="2"/>
  <c r="FG18" i="2"/>
  <c r="CR18" i="2"/>
  <c r="GO22" i="2"/>
  <c r="EX18" i="2"/>
  <c r="BT17" i="2"/>
  <c r="BZ25" i="2"/>
  <c r="DE25" i="2"/>
  <c r="AD17" i="2"/>
  <c r="CS25" i="2"/>
  <c r="FW17" i="2"/>
  <c r="FZ18" i="2"/>
  <c r="GC18" i="2"/>
  <c r="GQ25" i="2"/>
  <c r="AB17" i="2"/>
  <c r="FD25" i="2"/>
  <c r="CW18" i="2"/>
  <c r="EM18" i="2"/>
  <c r="AR17" i="2"/>
  <c r="GM25" i="2"/>
  <c r="AX17" i="2"/>
  <c r="DF25" i="2"/>
  <c r="BT25" i="2"/>
  <c r="GF22" i="2"/>
  <c r="CC25" i="2"/>
  <c r="EF25" i="2"/>
  <c r="EX22" i="2"/>
  <c r="EY22" i="2"/>
  <c r="AL18" i="2"/>
  <c r="Y22" i="2"/>
  <c r="BS25" i="2"/>
  <c r="BK18" i="2"/>
  <c r="C17" i="2"/>
  <c r="AV18" i="2"/>
  <c r="N18" i="2"/>
  <c r="FH25" i="2"/>
  <c r="AI17" i="2"/>
  <c r="F18" i="2"/>
  <c r="DN22" i="2"/>
  <c r="CB25" i="2"/>
  <c r="CK25" i="2"/>
  <c r="DR17" i="2"/>
  <c r="DQ18" i="2"/>
  <c r="GS18" i="2"/>
  <c r="CG17" i="2"/>
  <c r="CD25" i="2"/>
  <c r="M18" i="2"/>
  <c r="GD25" i="2"/>
  <c r="L25" i="2"/>
  <c r="Z22" i="2"/>
  <c r="CX17" i="2"/>
  <c r="CS18" i="2"/>
  <c r="BD18" i="2"/>
  <c r="EE25" i="2"/>
  <c r="BE22" i="2"/>
  <c r="K22" i="2"/>
  <c r="EB18" i="2"/>
  <c r="D22" i="2"/>
  <c r="I22" i="2"/>
  <c r="ER22" i="2"/>
  <c r="J25" i="2"/>
  <c r="EC22" i="2"/>
  <c r="DC22" i="2"/>
  <c r="CX22" i="2"/>
  <c r="GG18" i="2"/>
  <c r="FM17" i="2"/>
  <c r="CL18" i="2"/>
  <c r="AP22" i="2"/>
  <c r="DA17" i="2"/>
  <c r="BU17" i="2"/>
  <c r="DE18" i="2"/>
  <c r="EE22" i="2"/>
  <c r="GL17" i="2"/>
  <c r="BI17" i="2"/>
  <c r="FB18" i="2"/>
  <c r="GW25" i="2"/>
  <c r="FC17" i="2"/>
  <c r="DN25" i="2"/>
  <c r="FH18" i="2"/>
  <c r="AS18" i="2"/>
  <c r="DX22" i="2"/>
  <c r="BD17" i="2"/>
  <c r="K17" i="2"/>
  <c r="EW22" i="2"/>
  <c r="GQ22" i="2"/>
  <c r="AR18" i="2"/>
  <c r="CB22" i="2"/>
  <c r="BB17" i="2"/>
  <c r="FU17" i="2"/>
  <c r="AX25" i="2"/>
  <c r="BP17" i="2"/>
  <c r="GR18" i="2"/>
  <c r="H22" i="2"/>
  <c r="H25" i="2"/>
  <c r="ER25" i="2"/>
  <c r="EW25" i="2"/>
  <c r="EF22" i="2"/>
  <c r="DL18" i="2"/>
  <c r="GI25" i="2"/>
  <c r="BI25" i="2"/>
  <c r="BC25" i="2"/>
  <c r="D25" i="2"/>
  <c r="CM18" i="2"/>
  <c r="FS22" i="2"/>
  <c r="CI17" i="2"/>
  <c r="GY22" i="2"/>
  <c r="DR25" i="2"/>
  <c r="EI22" i="2"/>
  <c r="DR22" i="2"/>
  <c r="DA25" i="2"/>
  <c r="DQ22" i="2"/>
  <c r="DA22" i="2"/>
  <c r="FP17" i="2"/>
  <c r="GF17" i="2"/>
  <c r="EO17" i="2"/>
  <c r="FH17" i="2"/>
  <c r="C25" i="2"/>
  <c r="GG25" i="2"/>
  <c r="AH18" i="2"/>
  <c r="GB18" i="2"/>
  <c r="BL25" i="2"/>
  <c r="BW17" i="2"/>
  <c r="FA25" i="2"/>
  <c r="CL17" i="2"/>
  <c r="CA17" i="2"/>
  <c r="DU17" i="2"/>
  <c r="DR18" i="2"/>
  <c r="AR22" i="2"/>
  <c r="DO17" i="2"/>
  <c r="AJ25" i="2"/>
  <c r="BG17" i="2"/>
  <c r="CV22" i="2"/>
  <c r="AE25" i="2"/>
  <c r="BH17" i="2"/>
  <c r="CR17" i="2"/>
  <c r="FE17" i="2"/>
  <c r="A22" i="2"/>
  <c r="BF25" i="2"/>
  <c r="BG22" i="2"/>
  <c r="I25" i="2"/>
  <c r="AK18" i="2"/>
  <c r="BJ22" i="2"/>
  <c r="D17" i="2"/>
  <c r="GS17" i="2"/>
  <c r="BS17" i="2"/>
  <c r="GA25" i="2"/>
  <c r="EY17" i="2"/>
  <c r="AU18" i="2"/>
  <c r="AH17" i="2"/>
  <c r="FO25" i="2"/>
  <c r="GS22" i="2"/>
  <c r="A25" i="2"/>
  <c r="AC25" i="2"/>
  <c r="CI25" i="2"/>
  <c r="GT25" i="2"/>
  <c r="CI22" i="2"/>
  <c r="DB18" i="2"/>
  <c r="EU17" i="2"/>
  <c r="DN17" i="2"/>
  <c r="AW17" i="2"/>
  <c r="AK25" i="2"/>
  <c r="GT18" i="2"/>
  <c r="DP25" i="2"/>
  <c r="EJ22" i="2"/>
  <c r="R25" i="2"/>
  <c r="DZ18" i="2"/>
  <c r="ED18" i="2"/>
  <c r="CP17" i="2"/>
  <c r="CD18" i="2"/>
  <c r="ET22" i="2"/>
  <c r="EN25" i="2"/>
  <c r="AG18" i="2"/>
  <c r="GN17" i="2"/>
  <c r="AI22" i="2"/>
  <c r="AV25" i="2"/>
  <c r="AL25" i="2"/>
  <c r="EE17" i="2"/>
  <c r="GH17" i="2"/>
  <c r="CB17" i="2"/>
  <c r="CF17" i="2"/>
  <c r="FD17" i="2"/>
  <c r="GG17" i="2"/>
  <c r="EY25" i="2"/>
  <c r="CN18" i="2"/>
  <c r="FE18" i="2"/>
  <c r="BB22" i="2"/>
  <c r="EO18" i="2"/>
  <c r="GP18" i="2"/>
  <c r="CZ18" i="2"/>
  <c r="EK17" i="2"/>
  <c r="DK22" i="2"/>
  <c r="CW25" i="2"/>
  <c r="GV17" i="2"/>
  <c r="AF18" i="2"/>
  <c r="AW22" i="2"/>
  <c r="CR25" i="2"/>
  <c r="GJ22" i="2"/>
  <c r="N25" i="2"/>
  <c r="D18" i="2"/>
  <c r="GK18" i="2"/>
  <c r="DX18" i="2"/>
  <c r="EJ18" i="2"/>
  <c r="BE25" i="2"/>
  <c r="CO18" i="2"/>
  <c r="FR22" i="2"/>
  <c r="EX17" i="2"/>
  <c r="X22" i="2"/>
  <c r="ER18" i="2"/>
  <c r="BJ17" i="2"/>
  <c r="DM22" i="2"/>
  <c r="X18" i="2"/>
  <c r="ED22" i="2"/>
  <c r="CE22" i="2"/>
  <c r="GY25" i="2"/>
  <c r="EZ18" i="2"/>
  <c r="BH22" i="2"/>
  <c r="BZ18" i="2"/>
  <c r="DK18" i="2"/>
  <c r="AA18" i="2"/>
  <c r="AW25" i="2"/>
  <c r="FC22" i="2"/>
  <c r="AX22" i="2"/>
  <c r="FD18" i="2"/>
  <c r="EC25" i="2"/>
  <c r="W25" i="2"/>
  <c r="DI18" i="2"/>
  <c r="EN17" i="2"/>
  <c r="FW25" i="2"/>
  <c r="DQ17" i="2"/>
  <c r="GC25" i="2"/>
  <c r="GV18" i="2"/>
  <c r="FX22" i="2"/>
  <c r="CQ25" i="2"/>
  <c r="DO22" i="2"/>
  <c r="GP25" i="2"/>
  <c r="BU22" i="2"/>
  <c r="GQ18" i="2"/>
  <c r="G17" i="2"/>
  <c r="FK25" i="2"/>
  <c r="AN22" i="2"/>
  <c r="AH22" i="2"/>
  <c r="FM18" i="2"/>
  <c r="EZ17" i="2"/>
  <c r="FF18" i="2"/>
  <c r="J17" i="2"/>
  <c r="GO18" i="2"/>
  <c r="BQ18" i="2"/>
  <c r="GZ22" i="2"/>
  <c r="EO22" i="2"/>
  <c r="EH25" i="2"/>
  <c r="EA25" i="2"/>
  <c r="CY22" i="2"/>
  <c r="AQ25" i="2"/>
  <c r="B22" i="2"/>
  <c r="BX17" i="2"/>
  <c r="BM25" i="2"/>
  <c r="Y18" i="2"/>
  <c r="AK22" i="2"/>
  <c r="DK17" i="2"/>
  <c r="GK17" i="2"/>
  <c r="DU25" i="2"/>
  <c r="EB17" i="2"/>
  <c r="AV17" i="2"/>
  <c r="GR22" i="2"/>
  <c r="FA17" i="2"/>
  <c r="DD22" i="2"/>
  <c r="AM22" i="2"/>
  <c r="GA22" i="2"/>
  <c r="GK22" i="2"/>
  <c r="CJ22" i="2"/>
  <c r="BI22" i="2"/>
  <c r="AS22" i="2"/>
  <c r="DV22" i="2"/>
  <c r="BF22" i="2"/>
  <c r="EH22" i="2"/>
  <c r="EM22" i="2"/>
  <c r="AB22" i="2"/>
  <c r="DT22" i="2"/>
  <c r="DT11" i="3" l="1"/>
  <c r="AB11" i="3"/>
  <c r="EM11" i="3"/>
  <c r="EH11" i="3"/>
  <c r="BF11" i="3"/>
  <c r="DV11" i="3"/>
  <c r="AS11" i="3"/>
  <c r="BI11" i="3"/>
  <c r="CJ11" i="3"/>
  <c r="GA11" i="3"/>
  <c r="AM11" i="3"/>
  <c r="DD11" i="3"/>
  <c r="FA19" i="2"/>
  <c r="FA17" i="3" s="1"/>
  <c r="AV19" i="2"/>
  <c r="AV17" i="3" s="1"/>
  <c r="EB19" i="2"/>
  <c r="EB17" i="3" s="1"/>
  <c r="DU23" i="3"/>
  <c r="GK19" i="2"/>
  <c r="DK19" i="2"/>
  <c r="DK17" i="3" s="1"/>
  <c r="AK11" i="3"/>
  <c r="BM23" i="3"/>
  <c r="BX19" i="2"/>
  <c r="BX17" i="3" s="1"/>
  <c r="B11" i="3"/>
  <c r="AQ23" i="3"/>
  <c r="CY11" i="3"/>
  <c r="EA23" i="3"/>
  <c r="EH23" i="3"/>
  <c r="EO11" i="3"/>
  <c r="J19" i="2"/>
  <c r="J17" i="3" s="1"/>
  <c r="EZ19" i="2"/>
  <c r="EZ17" i="3" s="1"/>
  <c r="AH11" i="3"/>
  <c r="AN11" i="3"/>
  <c r="FK23" i="3"/>
  <c r="G19" i="2"/>
  <c r="G17" i="3" s="1"/>
  <c r="BU11" i="3"/>
  <c r="DO11" i="3"/>
  <c r="CQ23" i="3"/>
  <c r="FX11" i="3"/>
  <c r="GC23" i="3"/>
  <c r="DQ19" i="2"/>
  <c r="DQ17" i="3" s="1"/>
  <c r="FW23" i="3"/>
  <c r="EN19" i="2"/>
  <c r="EN17" i="3" s="1"/>
  <c r="W23" i="3"/>
  <c r="EC23" i="3"/>
  <c r="AX11" i="3"/>
  <c r="FC11" i="3"/>
  <c r="AW23" i="3"/>
  <c r="BH11" i="3"/>
  <c r="CE11" i="3"/>
  <c r="ED11" i="3"/>
  <c r="DM11" i="3"/>
  <c r="BJ19" i="2"/>
  <c r="BJ17" i="3" s="1"/>
  <c r="X11" i="3"/>
  <c r="EX19" i="2"/>
  <c r="EX17" i="3" s="1"/>
  <c r="FR11" i="3"/>
  <c r="BE23" i="3"/>
  <c r="N23" i="3"/>
  <c r="CR23" i="3"/>
  <c r="AW11" i="3"/>
  <c r="GV19" i="2"/>
  <c r="CW23" i="3"/>
  <c r="DK11" i="3"/>
  <c r="EK19" i="2"/>
  <c r="EK17" i="3" s="1"/>
  <c r="BB11" i="3"/>
  <c r="EY23" i="3"/>
  <c r="GG19" i="2"/>
  <c r="GG17" i="3" s="1"/>
  <c r="FD19" i="2"/>
  <c r="FD17" i="3" s="1"/>
  <c r="CF19" i="2"/>
  <c r="CF17" i="3" s="1"/>
  <c r="CB19" i="2"/>
  <c r="CB17" i="3" s="1"/>
  <c r="GH19" i="2"/>
  <c r="EE19" i="2"/>
  <c r="EE17" i="3" s="1"/>
  <c r="AL23" i="3"/>
  <c r="AV23" i="3"/>
  <c r="AI11" i="3"/>
  <c r="GN19" i="2"/>
  <c r="EN23" i="3"/>
  <c r="ET11" i="3"/>
  <c r="CP19" i="2"/>
  <c r="CP17" i="3" s="1"/>
  <c r="R23" i="3"/>
  <c r="EJ11" i="3"/>
  <c r="DP23" i="3"/>
  <c r="AK23" i="3"/>
  <c r="AW19" i="2"/>
  <c r="AW17" i="3" s="1"/>
  <c r="DN19" i="2"/>
  <c r="DN17" i="3" s="1"/>
  <c r="EU19" i="2"/>
  <c r="EU17" i="3" s="1"/>
  <c r="CI11" i="3"/>
  <c r="CI23" i="3"/>
  <c r="AC23" i="3"/>
  <c r="A23" i="3"/>
  <c r="FO23" i="3"/>
  <c r="AH19" i="2"/>
  <c r="AH17" i="3" s="1"/>
  <c r="EY19" i="2"/>
  <c r="EY17" i="3" s="1"/>
  <c r="GA23" i="3"/>
  <c r="BS19" i="2"/>
  <c r="BS17" i="3" s="1"/>
  <c r="GS19" i="2"/>
  <c r="D19" i="2"/>
  <c r="D17" i="3" s="1"/>
  <c r="BJ11" i="3"/>
  <c r="I23" i="3"/>
  <c r="BG11" i="3"/>
  <c r="BF23" i="3"/>
  <c r="A11" i="3"/>
  <c r="FE19" i="2"/>
  <c r="FE17" i="3" s="1"/>
  <c r="CR19" i="2"/>
  <c r="CR17" i="3" s="1"/>
  <c r="BH19" i="2"/>
  <c r="BH17" i="3" s="1"/>
  <c r="AE23" i="3"/>
  <c r="CV11" i="3"/>
  <c r="BG19" i="2"/>
  <c r="BG17" i="3" s="1"/>
  <c r="AJ23" i="3"/>
  <c r="DO19" i="2"/>
  <c r="DO17" i="3" s="1"/>
  <c r="AR11" i="3"/>
  <c r="DU19" i="2"/>
  <c r="DU17" i="3" s="1"/>
  <c r="CA19" i="2"/>
  <c r="CA17" i="3" s="1"/>
  <c r="CL19" i="2"/>
  <c r="CL17" i="3" s="1"/>
  <c r="FA23" i="3"/>
  <c r="BW19" i="2"/>
  <c r="BW17" i="3" s="1"/>
  <c r="BL23" i="3"/>
  <c r="GG23" i="3"/>
  <c r="C23" i="3"/>
  <c r="FH19" i="2"/>
  <c r="FH17" i="3" s="1"/>
  <c r="EO19" i="2"/>
  <c r="EO17" i="3" s="1"/>
  <c r="GF19" i="2"/>
  <c r="GF17" i="3" s="1"/>
  <c r="FP19" i="2"/>
  <c r="FP17" i="3" s="1"/>
  <c r="DA11" i="3"/>
  <c r="DQ11" i="3"/>
  <c r="DA23" i="3"/>
  <c r="DR11" i="3"/>
  <c r="EI11" i="3"/>
  <c r="DR23" i="3"/>
  <c r="CI19" i="2"/>
  <c r="CI17" i="3" s="1"/>
  <c r="FS11" i="3"/>
  <c r="D23" i="3"/>
  <c r="BC23" i="3"/>
  <c r="BI23" i="3"/>
  <c r="EF11" i="3"/>
  <c r="EW23" i="3"/>
  <c r="ER23" i="3"/>
  <c r="H23" i="3"/>
  <c r="H11" i="3"/>
  <c r="BP19" i="2"/>
  <c r="BP17" i="3" s="1"/>
  <c r="AX23" i="3"/>
  <c r="FU19" i="2"/>
  <c r="FU17" i="3" s="1"/>
  <c r="BB19" i="2"/>
  <c r="BB17" i="3" s="1"/>
  <c r="CB11" i="3"/>
  <c r="EW11" i="3"/>
  <c r="K19" i="2"/>
  <c r="K17" i="3" s="1"/>
  <c r="BD19" i="2"/>
  <c r="BD17" i="3" s="1"/>
  <c r="DX11" i="3"/>
  <c r="DN23" i="3"/>
  <c r="FC19" i="2"/>
  <c r="FC17" i="3" s="1"/>
  <c r="BI19" i="2"/>
  <c r="BI17" i="3" s="1"/>
  <c r="GL19" i="2"/>
  <c r="EE11" i="3"/>
  <c r="BU19" i="2"/>
  <c r="BU17" i="3" s="1"/>
  <c r="DA19" i="2"/>
  <c r="DA17" i="3" s="1"/>
  <c r="AP11" i="3"/>
  <c r="FM19" i="2"/>
  <c r="FM17" i="3" s="1"/>
  <c r="CX11" i="3"/>
  <c r="DC11" i="3"/>
  <c r="EC11" i="3"/>
  <c r="J23" i="3"/>
  <c r="ER11" i="3"/>
  <c r="I11" i="3"/>
  <c r="D11" i="3"/>
  <c r="K11" i="3"/>
  <c r="BE11" i="3"/>
  <c r="EE23" i="3"/>
  <c r="CX19" i="2"/>
  <c r="CX17" i="3" s="1"/>
  <c r="Z11" i="3"/>
  <c r="L23" i="3"/>
  <c r="GD23" i="3"/>
  <c r="CD23" i="3"/>
  <c r="CG19" i="2"/>
  <c r="CG17" i="3" s="1"/>
  <c r="DR19" i="2"/>
  <c r="DR17" i="3" s="1"/>
  <c r="CK23" i="3"/>
  <c r="CB23" i="3"/>
  <c r="DN11" i="3"/>
  <c r="AI19" i="2"/>
  <c r="AI17" i="3" s="1"/>
  <c r="FH23" i="3"/>
  <c r="C19" i="2"/>
  <c r="C17" i="3" s="1"/>
  <c r="BS23" i="3"/>
  <c r="Y11" i="3"/>
  <c r="EY11" i="3"/>
  <c r="EX11" i="3"/>
  <c r="EF23" i="3"/>
  <c r="CC23" i="3"/>
  <c r="GF11" i="3"/>
  <c r="BT23" i="3"/>
  <c r="DF23" i="3"/>
  <c r="AX19" i="2"/>
  <c r="AX17" i="3" s="1"/>
  <c r="AR19" i="2"/>
  <c r="AR17" i="3" s="1"/>
  <c r="FD23" i="3"/>
  <c r="AB19" i="2"/>
  <c r="AB17" i="3" s="1"/>
  <c r="FW19" i="2"/>
  <c r="FW17" i="3" s="1"/>
  <c r="CS23" i="3"/>
  <c r="AD19" i="2"/>
  <c r="AD17" i="3" s="1"/>
  <c r="DE23" i="3"/>
  <c r="BZ23" i="3"/>
  <c r="BT19" i="2"/>
  <c r="BT17" i="3" s="1"/>
  <c r="EZ23" i="3"/>
  <c r="CO19" i="2"/>
  <c r="CO17" i="3" s="1"/>
  <c r="CF11" i="3"/>
  <c r="AG23" i="3"/>
  <c r="FH11" i="3"/>
  <c r="DL11" i="3"/>
  <c r="BQ19" i="2"/>
  <c r="BQ17" i="3" s="1"/>
  <c r="CV23" i="3"/>
  <c r="DX23" i="3"/>
  <c r="FL23" i="3"/>
  <c r="BD23" i="3"/>
  <c r="BO23" i="3"/>
  <c r="C11" i="3"/>
  <c r="EM23" i="3"/>
  <c r="Q11" i="3"/>
  <c r="BK11" i="3"/>
  <c r="Q19" i="2"/>
  <c r="Q17" i="3" s="1"/>
  <c r="BB23" i="3"/>
  <c r="DP11" i="3"/>
  <c r="CT23" i="3"/>
  <c r="GB11" i="3"/>
  <c r="FZ11" i="3"/>
  <c r="CO23" i="3"/>
  <c r="CZ23" i="3"/>
  <c r="CX23" i="3"/>
  <c r="GO19" i="2"/>
  <c r="BW23" i="3"/>
  <c r="S11" i="3"/>
  <c r="DJ11" i="3"/>
  <c r="CD11" i="3"/>
  <c r="BL19" i="2"/>
  <c r="BL17" i="3" s="1"/>
  <c r="P23" i="3"/>
  <c r="DG11" i="3"/>
  <c r="FQ11" i="3"/>
  <c r="AT23" i="3"/>
  <c r="DY19" i="2"/>
  <c r="DY17" i="3" s="1"/>
  <c r="CU11" i="3"/>
  <c r="DX19" i="2"/>
  <c r="DX17" i="3" s="1"/>
  <c r="AU19" i="2"/>
  <c r="AU17" i="3" s="1"/>
  <c r="EL23" i="3"/>
  <c r="DB23" i="3"/>
  <c r="BJ23" i="3"/>
  <c r="FE11" i="3"/>
  <c r="Y19" i="2"/>
  <c r="Y17" i="3" s="1"/>
  <c r="AO19" i="2"/>
  <c r="AO17" i="3" s="1"/>
  <c r="FZ23" i="3"/>
  <c r="DZ11" i="3"/>
  <c r="DE11" i="3"/>
  <c r="DD19" i="2"/>
  <c r="DD17" i="3" s="1"/>
  <c r="CA11" i="3"/>
  <c r="BD11" i="3"/>
  <c r="AG19" i="2"/>
  <c r="AG17" i="3" s="1"/>
  <c r="BY23" i="3"/>
  <c r="DJ19" i="2"/>
  <c r="DJ17" i="3" s="1"/>
  <c r="EA19" i="2"/>
  <c r="EA17" i="3" s="1"/>
  <c r="ED23" i="3"/>
  <c r="DQ23" i="3"/>
  <c r="V11" i="3"/>
  <c r="BQ23" i="3"/>
  <c r="AO11" i="3"/>
  <c r="GE11" i="3"/>
  <c r="CN11" i="3"/>
  <c r="DB19" i="2"/>
  <c r="DB17" i="3" s="1"/>
  <c r="FB19" i="2"/>
  <c r="FB17" i="3" s="1"/>
  <c r="BO11" i="3"/>
  <c r="DY11" i="3"/>
  <c r="BT11" i="3"/>
  <c r="BA19" i="2"/>
  <c r="BA17" i="3" s="1"/>
  <c r="BF19" i="2"/>
  <c r="BF17" i="3" s="1"/>
  <c r="AY19" i="2"/>
  <c r="AY17" i="3" s="1"/>
  <c r="EQ23" i="3"/>
  <c r="AI23" i="3"/>
  <c r="GZ19" i="2"/>
  <c r="R19" i="2"/>
  <c r="R17" i="3" s="1"/>
  <c r="BV19" i="2"/>
  <c r="BV17" i="3" s="1"/>
  <c r="CV19" i="2"/>
  <c r="CV17" i="3" s="1"/>
  <c r="DK23" i="3"/>
  <c r="T11" i="3"/>
  <c r="W19" i="2"/>
  <c r="W17" i="3" s="1"/>
  <c r="E11" i="3"/>
  <c r="L11" i="3"/>
  <c r="BM19" i="2"/>
  <c r="BM17" i="3" s="1"/>
  <c r="W11" i="3"/>
  <c r="V19" i="2"/>
  <c r="V17" i="3" s="1"/>
  <c r="AN23" i="3"/>
  <c r="M23" i="3"/>
  <c r="EQ11" i="3"/>
  <c r="AA23" i="3"/>
  <c r="CP23" i="3"/>
  <c r="FE23" i="3"/>
  <c r="FL11" i="3"/>
  <c r="AC11" i="3"/>
  <c r="AA19" i="2"/>
  <c r="AA17" i="3" s="1"/>
  <c r="BA11" i="3"/>
  <c r="AH23" i="3"/>
  <c r="ES11" i="3"/>
  <c r="ES23" i="3"/>
  <c r="FV11" i="3"/>
  <c r="GC11" i="3"/>
  <c r="FK11" i="3"/>
  <c r="EO23" i="3"/>
  <c r="DJ23" i="3"/>
  <c r="DU11" i="3"/>
  <c r="CH23" i="3"/>
  <c r="FN23" i="3"/>
  <c r="B19" i="2"/>
  <c r="B17" i="3" s="1"/>
  <c r="ED19" i="2"/>
  <c r="ED17" i="3" s="1"/>
  <c r="EK11" i="3"/>
  <c r="FF19" i="2"/>
  <c r="FF17" i="3" s="1"/>
  <c r="BY19" i="2"/>
  <c r="BY17" i="3" s="1"/>
  <c r="G11" i="3"/>
  <c r="CJ23" i="3"/>
  <c r="BP11" i="3"/>
  <c r="FP23" i="3"/>
  <c r="BC19" i="2"/>
  <c r="BC17" i="3" s="1"/>
  <c r="CN23" i="3"/>
  <c r="EH19" i="2"/>
  <c r="EH17" i="3" s="1"/>
  <c r="FZ19" i="2"/>
  <c r="FZ17" i="3" s="1"/>
  <c r="FT11" i="3"/>
  <c r="FC23" i="3"/>
  <c r="FP11" i="3"/>
  <c r="GF23" i="3"/>
  <c r="GU19" i="2"/>
  <c r="BX11" i="3"/>
  <c r="DW19" i="2"/>
  <c r="DW17" i="3" s="1"/>
  <c r="O23" i="3"/>
  <c r="DT19" i="2"/>
  <c r="DT17" i="3" s="1"/>
  <c r="BY11" i="3"/>
  <c r="AF23" i="3"/>
  <c r="N11" i="3"/>
  <c r="Q23" i="3"/>
  <c r="BH23" i="3"/>
  <c r="GG11" i="3"/>
  <c r="AV11" i="3"/>
  <c r="DO23" i="3"/>
  <c r="AY23" i="3"/>
  <c r="S23" i="3"/>
  <c r="BK19" i="2"/>
  <c r="BK17" i="3" s="1"/>
  <c r="AU11" i="3"/>
  <c r="GB23" i="3"/>
  <c r="T19" i="2"/>
  <c r="T17" i="3" s="1"/>
  <c r="G23" i="3"/>
  <c r="AK19" i="2"/>
  <c r="AK17" i="3" s="1"/>
  <c r="CL23" i="3"/>
  <c r="L19" i="2"/>
  <c r="L17" i="3" s="1"/>
  <c r="DI11" i="3"/>
  <c r="CM23" i="3"/>
  <c r="EP19" i="2"/>
  <c r="EP17" i="3" s="1"/>
  <c r="GC19" i="2"/>
  <c r="GC17" i="3" s="1"/>
  <c r="B23" i="3"/>
  <c r="BG23" i="3"/>
  <c r="FF23" i="3"/>
  <c r="DW23" i="3"/>
  <c r="EX23" i="3"/>
  <c r="CU19" i="2"/>
  <c r="CU17" i="3" s="1"/>
  <c r="ER19" i="2"/>
  <c r="ER17" i="3" s="1"/>
  <c r="GY19" i="2"/>
  <c r="BA23" i="3"/>
  <c r="CU23" i="3"/>
  <c r="FB11" i="3"/>
  <c r="CJ19" i="2"/>
  <c r="CJ17" i="3" s="1"/>
  <c r="EK23" i="3"/>
  <c r="DP19" i="2"/>
  <c r="DP17" i="3" s="1"/>
  <c r="CQ11" i="3"/>
  <c r="DS11" i="3"/>
  <c r="CR11" i="3"/>
  <c r="AZ23" i="3"/>
  <c r="DW11" i="3"/>
  <c r="AA11" i="3"/>
  <c r="P11" i="3"/>
  <c r="I19" i="2"/>
  <c r="I17" i="3" s="1"/>
  <c r="U23" i="3"/>
  <c r="CY23" i="3"/>
  <c r="FX19" i="2"/>
  <c r="FX17" i="3" s="1"/>
  <c r="BN11" i="3"/>
  <c r="CH11" i="3"/>
  <c r="EG23" i="3"/>
  <c r="GA19" i="2"/>
  <c r="GA17" i="3" s="1"/>
  <c r="FT23" i="3"/>
  <c r="AM23" i="3"/>
  <c r="U11" i="3"/>
  <c r="FV23" i="3"/>
  <c r="BL11" i="3"/>
  <c r="S19" i="2"/>
  <c r="S17" i="3" s="1"/>
  <c r="GE23" i="3"/>
  <c r="DM19" i="2"/>
  <c r="DM17" i="3" s="1"/>
  <c r="DG19" i="2"/>
  <c r="DG17" i="3" s="1"/>
  <c r="FA11" i="3"/>
  <c r="DT23" i="3"/>
  <c r="AL19" i="2"/>
  <c r="AL17" i="3" s="1"/>
  <c r="AD23" i="3"/>
  <c r="DS23" i="3"/>
  <c r="GE19" i="2"/>
  <c r="GE17" i="3" s="1"/>
  <c r="AR23" i="3"/>
  <c r="O19" i="2"/>
  <c r="O17" i="3" s="1"/>
  <c r="AC19" i="2"/>
  <c r="AC17" i="3" s="1"/>
  <c r="FR19" i="2"/>
  <c r="FR17" i="3" s="1"/>
  <c r="BS11" i="3"/>
  <c r="BX23" i="3"/>
  <c r="EV19" i="2"/>
  <c r="EV17" i="3" s="1"/>
  <c r="T23" i="3"/>
  <c r="F23" i="3"/>
  <c r="EL19" i="2"/>
  <c r="EL17" i="3" s="1"/>
  <c r="AY11" i="3"/>
  <c r="CD19" i="2"/>
  <c r="CD17" i="3" s="1"/>
  <c r="FG23" i="3"/>
  <c r="EA11" i="3"/>
  <c r="FQ23" i="3"/>
  <c r="DF19" i="2"/>
  <c r="DF17" i="3" s="1"/>
  <c r="Y23" i="3"/>
  <c r="DZ23" i="3"/>
  <c r="FL19" i="2"/>
  <c r="FL17" i="3" s="1"/>
  <c r="CQ19" i="2"/>
  <c r="CQ17" i="3" s="1"/>
  <c r="AP23" i="3"/>
  <c r="CA23" i="3"/>
  <c r="GD19" i="2"/>
  <c r="GD17" i="3" s="1"/>
  <c r="O11" i="3"/>
  <c r="EG11" i="3"/>
  <c r="BM11" i="3"/>
  <c r="CM11" i="3"/>
  <c r="AJ11" i="3"/>
  <c r="AJ19" i="2"/>
  <c r="AJ17" i="3" s="1"/>
  <c r="GW19" i="2"/>
  <c r="FS23" i="3"/>
  <c r="EG19" i="2"/>
  <c r="EG17" i="3" s="1"/>
  <c r="BN23" i="3"/>
  <c r="DE19" i="2"/>
  <c r="DE17" i="3" s="1"/>
  <c r="CM19" i="2"/>
  <c r="CM17" i="3" s="1"/>
  <c r="AS23" i="3"/>
  <c r="GP19" i="2"/>
  <c r="FU23" i="3"/>
  <c r="BK23" i="3"/>
  <c r="CK19" i="2"/>
  <c r="CK17" i="3" s="1"/>
  <c r="ET23" i="3"/>
  <c r="FU11" i="3"/>
  <c r="DD23" i="3"/>
  <c r="FQ19" i="2"/>
  <c r="FQ17" i="3" s="1"/>
  <c r="FY23" i="3"/>
  <c r="FT19" i="2"/>
  <c r="FT17" i="3" s="1"/>
  <c r="CC11" i="3"/>
  <c r="DZ19" i="2"/>
  <c r="DZ17" i="3" s="1"/>
  <c r="K23" i="3"/>
  <c r="R11" i="3"/>
  <c r="DS19" i="2"/>
  <c r="DS17" i="3" s="1"/>
  <c r="FI23" i="3"/>
  <c r="BV11" i="3"/>
  <c r="AD11" i="3"/>
  <c r="BC11" i="3"/>
  <c r="FN19" i="2"/>
  <c r="FN17" i="3" s="1"/>
  <c r="EV11" i="3"/>
  <c r="EU11" i="3"/>
  <c r="AQ19" i="2"/>
  <c r="AQ17" i="3" s="1"/>
  <c r="BZ11" i="3"/>
  <c r="AE19" i="2"/>
  <c r="AE17" i="3" s="1"/>
  <c r="AO23" i="3"/>
  <c r="M11" i="3"/>
  <c r="GM19" i="2"/>
  <c r="Z19" i="2"/>
  <c r="Z17" i="3" s="1"/>
  <c r="H19" i="2"/>
  <c r="H17" i="3" s="1"/>
  <c r="GJ19" i="2"/>
  <c r="J11" i="3"/>
  <c r="F11" i="3"/>
  <c r="M19" i="2"/>
  <c r="M17" i="3" s="1"/>
  <c r="FG11" i="3"/>
  <c r="FB23" i="3"/>
  <c r="AB23" i="3"/>
  <c r="V23" i="3"/>
  <c r="BU23" i="3"/>
  <c r="DH11" i="3"/>
  <c r="BR19" i="2"/>
  <c r="BR17" i="3" s="1"/>
  <c r="FD11" i="3"/>
  <c r="BP23" i="3"/>
  <c r="BR23" i="3"/>
  <c r="BZ19" i="2"/>
  <c r="BZ17" i="3" s="1"/>
  <c r="FI19" i="2"/>
  <c r="FI17" i="3" s="1"/>
  <c r="GB19" i="2"/>
  <c r="GB17" i="3" s="1"/>
  <c r="FO11" i="3"/>
  <c r="DG23" i="3"/>
  <c r="EI23" i="3"/>
  <c r="FK19" i="2"/>
  <c r="FK17" i="3" s="1"/>
  <c r="FJ23" i="3"/>
  <c r="GI19" i="2"/>
  <c r="EZ11" i="3"/>
  <c r="AL11" i="3"/>
  <c r="AN19" i="2"/>
  <c r="AN17" i="3" s="1"/>
  <c r="FY11" i="3"/>
  <c r="X19" i="2"/>
  <c r="X17" i="3" s="1"/>
  <c r="CC19" i="2"/>
  <c r="CC17" i="3" s="1"/>
  <c r="AE11" i="3"/>
  <c r="BV23" i="3"/>
  <c r="EJ19" i="2"/>
  <c r="EJ17" i="3" s="1"/>
  <c r="EC19" i="2"/>
  <c r="EC17" i="3" s="1"/>
  <c r="FX23" i="3"/>
  <c r="GT19" i="2"/>
  <c r="BE19" i="2"/>
  <c r="BE17" i="3" s="1"/>
  <c r="DV23" i="3"/>
  <c r="EF19" i="2"/>
  <c r="EF17" i="3" s="1"/>
  <c r="FV19" i="2"/>
  <c r="FV17" i="3" s="1"/>
  <c r="DV19" i="2"/>
  <c r="DV17" i="3" s="1"/>
  <c r="EJ23" i="3"/>
  <c r="FJ19" i="2"/>
  <c r="FJ17" i="3" s="1"/>
  <c r="CE19" i="2"/>
  <c r="CE17" i="3" s="1"/>
  <c r="EB11" i="3"/>
  <c r="X23" i="3"/>
  <c r="CS19" i="2"/>
  <c r="CS17" i="3" s="1"/>
  <c r="BQ11" i="3"/>
  <c r="DM23" i="3"/>
  <c r="CT19" i="2"/>
  <c r="CT17" i="3" s="1"/>
  <c r="AT11" i="3"/>
  <c r="FS19" i="2"/>
  <c r="FS17" i="3" s="1"/>
  <c r="DB11" i="3"/>
  <c r="CZ19" i="2"/>
  <c r="CZ17" i="3" s="1"/>
  <c r="EM19" i="2"/>
  <c r="EM17" i="3" s="1"/>
  <c r="CF23" i="3"/>
  <c r="BN19" i="2"/>
  <c r="BN17" i="3" s="1"/>
  <c r="GX19" i="2"/>
  <c r="FM23" i="3"/>
  <c r="CY19" i="2"/>
  <c r="CY17" i="3" s="1"/>
  <c r="GD11" i="3"/>
  <c r="AT19" i="2"/>
  <c r="AT17" i="3" s="1"/>
  <c r="FW11" i="3"/>
  <c r="CG11" i="3"/>
  <c r="FM11" i="3"/>
  <c r="DY23" i="3"/>
  <c r="EN11" i="3"/>
  <c r="DF11" i="3"/>
  <c r="FR23" i="3"/>
  <c r="CN19" i="2"/>
  <c r="CN17" i="3" s="1"/>
  <c r="DI23" i="3"/>
  <c r="AZ19" i="2"/>
  <c r="AZ17" i="3" s="1"/>
  <c r="AQ11" i="3"/>
  <c r="EQ19" i="2"/>
  <c r="EQ17" i="3" s="1"/>
  <c r="U19" i="2"/>
  <c r="U17" i="3" s="1"/>
  <c r="FJ11" i="3"/>
  <c r="CG23" i="3"/>
  <c r="BW11" i="3"/>
  <c r="DL23" i="3"/>
  <c r="GR19" i="2"/>
  <c r="DL19" i="2"/>
  <c r="DL17" i="3" s="1"/>
  <c r="AS19" i="2"/>
  <c r="AS17" i="3" s="1"/>
  <c r="DI19" i="2"/>
  <c r="DI17" i="3" s="1"/>
  <c r="E19" i="2"/>
  <c r="E17" i="3" s="1"/>
  <c r="CT11" i="3"/>
  <c r="AP19" i="2"/>
  <c r="AP17" i="3" s="1"/>
  <c r="E23" i="3"/>
  <c r="FN11" i="3"/>
  <c r="EP23" i="3"/>
  <c r="AU23" i="3"/>
  <c r="N19" i="2"/>
  <c r="N17" i="3" s="1"/>
  <c r="CP11" i="3"/>
  <c r="CH19" i="2"/>
  <c r="CH17" i="3" s="1"/>
  <c r="AG11" i="3"/>
  <c r="CZ11" i="3"/>
  <c r="BR11" i="3"/>
  <c r="AZ11" i="3"/>
  <c r="CS11" i="3"/>
  <c r="EV23" i="3"/>
  <c r="CK11" i="3"/>
  <c r="ET19" i="2"/>
  <c r="ET17" i="3" s="1"/>
  <c r="Z23" i="3"/>
  <c r="DH23" i="3"/>
  <c r="EP11" i="3"/>
  <c r="EL11" i="3"/>
  <c r="AF11" i="3"/>
  <c r="A19" i="2"/>
  <c r="A17" i="3" s="1"/>
  <c r="EU23" i="3"/>
  <c r="FF11" i="3"/>
  <c r="ES19" i="2"/>
  <c r="ES17" i="3" s="1"/>
  <c r="GQ19" i="2"/>
  <c r="AM19" i="2"/>
  <c r="AM17" i="3" s="1"/>
  <c r="EI19" i="2"/>
  <c r="EI17" i="3" s="1"/>
  <c r="FG19" i="2"/>
  <c r="FG17" i="3" s="1"/>
  <c r="FY19" i="2"/>
  <c r="FY17" i="3" s="1"/>
  <c r="CL11" i="3"/>
  <c r="BO19" i="2"/>
  <c r="BO17" i="3" s="1"/>
  <c r="FO19" i="2"/>
  <c r="FO17" i="3" s="1"/>
  <c r="DC19" i="2"/>
  <c r="DC17" i="3" s="1"/>
  <c r="EW19" i="2"/>
  <c r="EW17" i="3" s="1"/>
  <c r="DH19" i="2"/>
  <c r="DH17" i="3" s="1"/>
  <c r="DC23" i="3"/>
  <c r="F19" i="2"/>
  <c r="F17" i="3" s="1"/>
  <c r="CO11" i="3"/>
  <c r="P19" i="2"/>
  <c r="P17" i="3" s="1"/>
  <c r="EB23" i="3"/>
  <c r="CE23" i="3"/>
  <c r="AF19" i="2"/>
  <c r="AF17" i="3" s="1"/>
  <c r="CW11" i="3"/>
  <c r="CW19" i="2"/>
  <c r="CW17" i="3" s="1"/>
  <c r="FI11" i="3"/>
  <c r="C32" i="3" l="1"/>
  <c r="J30" i="3"/>
  <c r="M27" i="3"/>
  <c r="J29" i="3"/>
  <c r="M28" i="3"/>
  <c r="F26" i="3"/>
  <c r="F27" i="3"/>
  <c r="M31" i="3"/>
  <c r="F31" i="3"/>
  <c r="F29" i="3"/>
  <c r="C31" i="3"/>
  <c r="F32" i="3"/>
  <c r="J26" i="3"/>
  <c r="C26" i="3"/>
  <c r="C33" i="3"/>
  <c r="F33" i="3"/>
  <c r="F28" i="3"/>
  <c r="J28" i="3"/>
  <c r="M29" i="3"/>
  <c r="J31" i="3"/>
  <c r="C28" i="3"/>
  <c r="J33" i="3"/>
  <c r="M30" i="3"/>
  <c r="C30" i="3"/>
  <c r="J27" i="3"/>
  <c r="M33" i="3"/>
  <c r="C27" i="3"/>
  <c r="M32" i="3"/>
  <c r="M26" i="3"/>
  <c r="J32" i="3"/>
  <c r="C29" i="3"/>
  <c r="F30" i="3"/>
</calcChain>
</file>

<file path=xl/sharedStrings.xml><?xml version="1.0" encoding="utf-8"?>
<sst xmlns="http://schemas.openxmlformats.org/spreadsheetml/2006/main" count="3922" uniqueCount="115">
  <si>
    <t>Figure out how many columns are in use</t>
  </si>
  <si>
    <t>Figure out how many rows are in use</t>
  </si>
  <si>
    <t>Create a range from these numbers</t>
  </si>
  <si>
    <t>For each column in the range, count the number of white cells</t>
  </si>
  <si>
    <t>Row</t>
  </si>
  <si>
    <t>Col</t>
  </si>
  <si>
    <t>Sheet</t>
  </si>
  <si>
    <t>For each column in the range, count the number of green cells</t>
  </si>
  <si>
    <t xml:space="preserve">Total Allocation:  </t>
  </si>
  <si>
    <t>[ ColorFunction(ReferenceCell, Range, FALSE=COUNT; TRUE=SUM) ] -  ! Macros Must Be Enabled !</t>
  </si>
  <si>
    <t>If there are rooms with asterisks, count them, then update this to be the bottom of the range</t>
  </si>
  <si>
    <t>Calculate Total Beds (Use rows in use if no asterisks)</t>
  </si>
  <si>
    <t>Single:</t>
  </si>
  <si>
    <t>Double:</t>
  </si>
  <si>
    <t>Total:</t>
  </si>
  <si>
    <t>Available:</t>
  </si>
  <si>
    <t>Booked:</t>
  </si>
  <si>
    <t>Unavailable:</t>
  </si>
  <si>
    <t>Year:</t>
  </si>
  <si>
    <t>For each column in the range, count the number of black or red cells</t>
  </si>
  <si>
    <t>% Occupancy</t>
  </si>
  <si>
    <t>Unsold Beds</t>
  </si>
  <si>
    <t>Combination Availabiity Report</t>
  </si>
  <si>
    <t>Residence:</t>
  </si>
  <si>
    <t>Overall Stats</t>
  </si>
  <si>
    <t>Accommodation Booking Schedule</t>
  </si>
  <si>
    <t>Beds</t>
  </si>
  <si>
    <t>Room</t>
  </si>
  <si>
    <t>Sat</t>
  </si>
  <si>
    <t>Sun</t>
  </si>
  <si>
    <t>Mon</t>
  </si>
  <si>
    <t>Tue</t>
  </si>
  <si>
    <t>Wed</t>
  </si>
  <si>
    <t>Thu</t>
  </si>
  <si>
    <t>Fri</t>
  </si>
  <si>
    <t>1F</t>
  </si>
  <si>
    <t>1M</t>
  </si>
  <si>
    <t>Tufnell House</t>
  </si>
  <si>
    <t>Britannia Southbank</t>
  </si>
  <si>
    <t>Chapter Spitalfields</t>
  </si>
  <si>
    <t>Dec</t>
  </si>
  <si>
    <t>Jan</t>
  </si>
  <si>
    <t>Feb</t>
  </si>
  <si>
    <t>Mar</t>
  </si>
  <si>
    <t>W/C 19 Jan:</t>
  </si>
  <si>
    <t>W/C 26 Jan:</t>
  </si>
  <si>
    <t>W/C 2 Feb:</t>
  </si>
  <si>
    <t>W/C 9 Feb:</t>
  </si>
  <si>
    <t>W/C 16 Feb:</t>
  </si>
  <si>
    <t>W/C 29 Dec:</t>
  </si>
  <si>
    <t>W/C 23 Feb:</t>
  </si>
  <si>
    <t>W/C 5 Jan:</t>
  </si>
  <si>
    <t>W/C 2 Mar:</t>
  </si>
  <si>
    <t>W/C 12 Jan:</t>
  </si>
  <si>
    <t>W/C 9 Mar:</t>
  </si>
  <si>
    <t>W/C 16 Mar:</t>
  </si>
  <si>
    <t>W/C 23 Mar:</t>
  </si>
  <si>
    <t>Apr</t>
  </si>
  <si>
    <t>W/C 30 Mar:</t>
  </si>
  <si>
    <t>W/C 6 Apr:</t>
  </si>
  <si>
    <t>From: 29/12/2018 To: 19/04/2019</t>
  </si>
  <si>
    <t>W/C 13 Apr:</t>
  </si>
  <si>
    <t>Printed: 02/01/2019   At: 16:03   By: Ana Clara Lopes</t>
  </si>
  <si>
    <t>Tufnell House,  - Huddleston Road (Tel. 02035953254)</t>
  </si>
  <si>
    <t>*A01/A</t>
  </si>
  <si>
    <t>*A01/B</t>
  </si>
  <si>
    <t>*A01/C</t>
  </si>
  <si>
    <t>*A01/D</t>
  </si>
  <si>
    <t>*A01/E</t>
  </si>
  <si>
    <t>*A06/A</t>
  </si>
  <si>
    <t>*A06/B</t>
  </si>
  <si>
    <t>*A06/C</t>
  </si>
  <si>
    <t>*A06/D</t>
  </si>
  <si>
    <t>*A06/E</t>
  </si>
  <si>
    <t>*A11/A</t>
  </si>
  <si>
    <t>*A11/B</t>
  </si>
  <si>
    <t>1?</t>
  </si>
  <si>
    <t>*A11/C</t>
  </si>
  <si>
    <t>*A11/D</t>
  </si>
  <si>
    <t>*A11/E</t>
  </si>
  <si>
    <t>*A11/F</t>
  </si>
  <si>
    <t>*A26/A</t>
  </si>
  <si>
    <t>*A26/B</t>
  </si>
  <si>
    <t>*A26/C</t>
  </si>
  <si>
    <t>*A26/D</t>
  </si>
  <si>
    <t>*A26/E</t>
  </si>
  <si>
    <t>*A26/F</t>
  </si>
  <si>
    <t>*A27/A</t>
  </si>
  <si>
    <t>*A27/B</t>
  </si>
  <si>
    <t>*A27/C</t>
  </si>
  <si>
    <t>*A27/D</t>
  </si>
  <si>
    <t>*A27/E</t>
  </si>
  <si>
    <t>*A27/F</t>
  </si>
  <si>
    <t>*A34/A</t>
  </si>
  <si>
    <t>*A34/B</t>
  </si>
  <si>
    <t>*A34/C</t>
  </si>
  <si>
    <t>*A34/D</t>
  </si>
  <si>
    <t>*A34/E</t>
  </si>
  <si>
    <t>*A34/F</t>
  </si>
  <si>
    <t>*A35/A</t>
  </si>
  <si>
    <t>*A35/B</t>
  </si>
  <si>
    <t>*A35/C</t>
  </si>
  <si>
    <t>*A35/D</t>
  </si>
  <si>
    <t>*A35/E</t>
  </si>
  <si>
    <t>*A35/F</t>
  </si>
  <si>
    <t>*A38/A</t>
  </si>
  <si>
    <t>*A38/B</t>
  </si>
  <si>
    <t>*A38/C</t>
  </si>
  <si>
    <t>*A38/D</t>
  </si>
  <si>
    <t>*A38/E</t>
  </si>
  <si>
    <t>*A39/A</t>
  </si>
  <si>
    <t>*A39/B</t>
  </si>
  <si>
    <t>*A39/C</t>
  </si>
  <si>
    <t>*A39/D</t>
  </si>
  <si>
    <t>*A39/E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</si>
</sst>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[$-F800]dddd\,\ mmmm\ dd\,\ 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2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1"/>
        <bgColor indexed="64"/>
      </patternFill>
    </fill>
  </fills>
  <borders count="36">
    <border>
      <left/>
      <right/>
      <top/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14999847407452621"/>
      </right>
      <top style="thin">
        <color theme="0" tint="-0.499984740745262"/>
      </top>
      <bottom/>
      <diagonal/>
    </border>
    <border>
      <left style="thin">
        <color theme="0" tint="-0.14999847407452621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14999847407452621"/>
      </bottom>
      <diagonal/>
    </border>
    <border>
      <left/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0" xfId="0" applyFont="1" applyFill="1"/>
    <xf numFmtId="0" fontId="8" fillId="3" borderId="0" xfId="0" applyFont="1" applyFill="1"/>
    <xf numFmtId="0" fontId="8" fillId="3" borderId="0" xfId="0" applyFont="1" applyFill="1" applyAlignment="1">
      <alignment horizontal="left"/>
    </xf>
    <xf numFmtId="0" fontId="9" fillId="2" borderId="0" xfId="0" applyFont="1" applyFill="1"/>
    <xf numFmtId="0" fontId="9" fillId="0" borderId="0" xfId="0" applyFont="1" applyFill="1"/>
    <xf numFmtId="0" fontId="9" fillId="5" borderId="0" xfId="0" applyFont="1" applyFill="1"/>
    <xf numFmtId="0" fontId="1" fillId="0" borderId="0" xfId="0" applyFont="1" applyAlignment="1">
      <alignment vertical="center"/>
    </xf>
    <xf numFmtId="0" fontId="0" fillId="0" borderId="0" xfId="0"/>
    <xf numFmtId="0" fontId="2" fillId="6" borderId="0" xfId="0" applyFont="1" applyFill="1"/>
    <xf numFmtId="0" fontId="0" fillId="4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1" xfId="0" applyBorder="1" applyAlignment="1">
      <alignment vertical="center"/>
    </xf>
    <xf numFmtId="0" fontId="0" fillId="4" borderId="0" xfId="0" applyFill="1" applyBorder="1"/>
    <xf numFmtId="0" fontId="0" fillId="0" borderId="3" xfId="0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0" borderId="4" xfId="0" applyBorder="1"/>
    <xf numFmtId="0" fontId="4" fillId="0" borderId="0" xfId="0" applyFont="1" applyBorder="1"/>
    <xf numFmtId="0" fontId="8" fillId="3" borderId="0" xfId="0" applyFont="1" applyFill="1" applyAlignment="1">
      <alignment horizontal="right"/>
    </xf>
    <xf numFmtId="0" fontId="0" fillId="4" borderId="2" xfId="1" applyNumberFormat="1" applyFont="1" applyFill="1" applyBorder="1" applyAlignment="1">
      <alignment horizontal="center" vertical="center"/>
    </xf>
    <xf numFmtId="0" fontId="0" fillId="4" borderId="5" xfId="1" applyNumberFormat="1" applyFont="1" applyFill="1" applyBorder="1" applyAlignment="1">
      <alignment horizontal="center" vertical="center"/>
    </xf>
    <xf numFmtId="0" fontId="0" fillId="0" borderId="0" xfId="1" applyNumberFormat="1" applyFont="1" applyBorder="1" applyAlignment="1">
      <alignment horizontal="center" vertical="center"/>
    </xf>
    <xf numFmtId="0" fontId="0" fillId="4" borderId="7" xfId="1" applyNumberFormat="1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4" fillId="0" borderId="0" xfId="0" applyFont="1"/>
    <xf numFmtId="9" fontId="0" fillId="4" borderId="2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0" fontId="0" fillId="0" borderId="0" xfId="0"/>
    <xf numFmtId="0" fontId="0" fillId="0" borderId="0" xfId="0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 applyBorder="1"/>
    <xf numFmtId="0" fontId="0" fillId="4" borderId="9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9" fontId="0" fillId="4" borderId="11" xfId="1" applyFont="1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0" xfId="0" applyBorder="1"/>
    <xf numFmtId="9" fontId="0" fillId="0" borderId="13" xfId="1" applyFont="1" applyBorder="1" applyAlignment="1">
      <alignment horizontal="center" vertical="center"/>
    </xf>
    <xf numFmtId="0" fontId="0" fillId="4" borderId="14" xfId="0" applyFill="1" applyBorder="1" applyAlignment="1">
      <alignment vertical="center"/>
    </xf>
    <xf numFmtId="9" fontId="0" fillId="0" borderId="7" xfId="1" applyFont="1" applyBorder="1" applyAlignment="1">
      <alignment horizontal="center" vertical="center"/>
    </xf>
    <xf numFmtId="0" fontId="0" fillId="4" borderId="15" xfId="0" applyFill="1" applyBorder="1" applyAlignment="1">
      <alignment vertical="center"/>
    </xf>
    <xf numFmtId="9" fontId="0" fillId="0" borderId="16" xfId="1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9" fontId="0" fillId="4" borderId="7" xfId="1" applyFont="1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9" fontId="0" fillId="0" borderId="18" xfId="1" applyFont="1" applyBorder="1" applyAlignment="1">
      <alignment horizontal="center" vertical="center"/>
    </xf>
    <xf numFmtId="0" fontId="0" fillId="4" borderId="18" xfId="0" applyFill="1" applyBorder="1" applyAlignment="1">
      <alignment vertical="center"/>
    </xf>
    <xf numFmtId="0" fontId="0" fillId="4" borderId="18" xfId="0" applyFill="1" applyBorder="1"/>
    <xf numFmtId="9" fontId="0" fillId="4" borderId="19" xfId="1" applyFont="1" applyFill="1" applyBorder="1" applyAlignment="1">
      <alignment horizontal="center" vertical="center"/>
    </xf>
    <xf numFmtId="0" fontId="0" fillId="4" borderId="11" xfId="1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3" xfId="1" applyNumberFormat="1" applyFont="1" applyBorder="1" applyAlignment="1">
      <alignment horizontal="center" vertical="center"/>
    </xf>
    <xf numFmtId="0" fontId="0" fillId="0" borderId="7" xfId="1" applyNumberFormat="1" applyFont="1" applyBorder="1" applyAlignment="1">
      <alignment horizontal="center" vertical="center"/>
    </xf>
    <xf numFmtId="0" fontId="0" fillId="0" borderId="16" xfId="1" applyNumberFormat="1" applyFont="1" applyBorder="1" applyAlignment="1">
      <alignment horizontal="center" vertical="center"/>
    </xf>
    <xf numFmtId="0" fontId="0" fillId="0" borderId="18" xfId="1" applyNumberFormat="1" applyFont="1" applyBorder="1" applyAlignment="1">
      <alignment horizontal="center" vertical="center"/>
    </xf>
    <xf numFmtId="0" fontId="0" fillId="4" borderId="19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7" borderId="20" xfId="0" applyFill="1" applyBorder="1" applyAlignment="1">
      <alignment vertical="center"/>
    </xf>
    <xf numFmtId="0" fontId="0" fillId="7" borderId="22" xfId="0" applyFill="1" applyBorder="1" applyAlignment="1">
      <alignment vertical="center"/>
    </xf>
    <xf numFmtId="0" fontId="0" fillId="7" borderId="23" xfId="0" applyFill="1" applyBorder="1" applyAlignment="1">
      <alignment vertical="center"/>
    </xf>
    <xf numFmtId="0" fontId="0" fillId="7" borderId="21" xfId="0" applyFill="1" applyBorder="1"/>
    <xf numFmtId="0" fontId="0" fillId="7" borderId="8" xfId="1" applyNumberFormat="1" applyFont="1" applyFill="1" applyBorder="1" applyAlignment="1">
      <alignment horizontal="center" vertical="center"/>
    </xf>
    <xf numFmtId="0" fontId="0" fillId="7" borderId="24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0" fontId="0" fillId="7" borderId="25" xfId="0" applyFill="1" applyBorder="1" applyAlignment="1">
      <alignment vertical="center"/>
    </xf>
    <xf numFmtId="0" fontId="0" fillId="7" borderId="26" xfId="0" applyFill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6" xfId="0" applyBorder="1"/>
    <xf numFmtId="0" fontId="0" fillId="7" borderId="29" xfId="0" applyFill="1" applyBorder="1" applyAlignment="1">
      <alignment vertical="center"/>
    </xf>
    <xf numFmtId="0" fontId="0" fillId="7" borderId="31" xfId="0" applyFill="1" applyBorder="1" applyAlignment="1">
      <alignment vertical="center"/>
    </xf>
    <xf numFmtId="0" fontId="0" fillId="0" borderId="29" xfId="0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7" borderId="34" xfId="0" applyFill="1" applyBorder="1" applyAlignment="1">
      <alignment vertical="center"/>
    </xf>
    <xf numFmtId="0" fontId="0" fillId="7" borderId="6" xfId="0" applyFill="1" applyBorder="1"/>
    <xf numFmtId="0" fontId="0" fillId="7" borderId="27" xfId="1" applyNumberFormat="1" applyFont="1" applyFill="1" applyBorder="1" applyAlignment="1">
      <alignment horizontal="center" vertical="center"/>
    </xf>
    <xf numFmtId="0" fontId="0" fillId="0" borderId="28" xfId="1" applyNumberFormat="1" applyFont="1" applyBorder="1" applyAlignment="1">
      <alignment horizontal="center" vertical="center"/>
    </xf>
    <xf numFmtId="0" fontId="0" fillId="0" borderId="30" xfId="1" applyNumberFormat="1" applyFont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7" borderId="32" xfId="1" applyNumberFormat="1" applyFont="1" applyFill="1" applyBorder="1" applyAlignment="1">
      <alignment horizontal="center" vertical="center"/>
    </xf>
    <xf numFmtId="0" fontId="0" fillId="7" borderId="30" xfId="1" applyNumberFormat="1" applyFont="1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6" xfId="1" applyNumberFormat="1" applyFont="1" applyFill="1" applyBorder="1" applyAlignment="1">
      <alignment horizontal="center" vertical="center"/>
    </xf>
    <xf numFmtId="0" fontId="0" fillId="7" borderId="35" xfId="1" applyNumberFormat="1" applyFont="1" applyFill="1" applyBorder="1" applyAlignment="1">
      <alignment horizontal="center" vertical="center"/>
    </xf>
    <xf numFmtId="9" fontId="0" fillId="7" borderId="27" xfId="1" applyNumberFormat="1" applyFont="1" applyFill="1" applyBorder="1" applyAlignment="1">
      <alignment horizontal="center" vertical="center"/>
    </xf>
    <xf numFmtId="9" fontId="0" fillId="7" borderId="8" xfId="1" applyNumberFormat="1" applyFont="1" applyFill="1" applyBorder="1" applyAlignment="1">
      <alignment horizontal="center" vertical="center"/>
    </xf>
    <xf numFmtId="9" fontId="0" fillId="7" borderId="24" xfId="1" applyNumberFormat="1" applyFont="1" applyFill="1" applyBorder="1" applyAlignment="1">
      <alignment horizontal="center" vertical="center"/>
    </xf>
    <xf numFmtId="9" fontId="0" fillId="0" borderId="0" xfId="1" applyNumberFormat="1" applyFont="1" applyFill="1" applyBorder="1" applyAlignment="1">
      <alignment horizontal="center" vertical="center"/>
    </xf>
    <xf numFmtId="9" fontId="0" fillId="0" borderId="6" xfId="1" applyNumberFormat="1" applyFont="1" applyFill="1" applyBorder="1" applyAlignment="1">
      <alignment horizontal="center" vertical="center"/>
    </xf>
    <xf numFmtId="9" fontId="0" fillId="0" borderId="28" xfId="1" applyNumberFormat="1" applyFont="1" applyBorder="1" applyAlignment="1">
      <alignment horizontal="center" vertical="center"/>
    </xf>
    <xf numFmtId="9" fontId="0" fillId="0" borderId="30" xfId="1" applyNumberFormat="1" applyFont="1" applyBorder="1" applyAlignment="1">
      <alignment horizontal="center" vertical="center"/>
    </xf>
    <xf numFmtId="9" fontId="0" fillId="7" borderId="32" xfId="1" applyNumberFormat="1" applyFont="1" applyFill="1" applyBorder="1" applyAlignment="1">
      <alignment horizontal="center" vertical="center"/>
    </xf>
    <xf numFmtId="9" fontId="0" fillId="7" borderId="30" xfId="1" applyNumberFormat="1" applyFont="1" applyFill="1" applyBorder="1" applyAlignment="1">
      <alignment horizontal="center" vertical="center"/>
    </xf>
    <xf numFmtId="9" fontId="0" fillId="7" borderId="35" xfId="1" applyNumberFormat="1" applyFont="1" applyFill="1" applyBorder="1" applyAlignment="1">
      <alignment horizontal="center" vertical="center"/>
    </xf>
    <xf numFmtId="0" fontId="11" fillId="0" borderId="0" xfId="0" applyFont="1" applyAlignment="1"/>
    <xf numFmtId="0" fontId="0" fillId="0" borderId="0" xfId="0" applyAlignment="1"/>
    <xf numFmtId="0" fontId="1" fillId="0" borderId="0" xfId="0" applyFont="1" applyAlignment="1"/>
    <xf numFmtId="165" fontId="4" fillId="0" borderId="0" xfId="0" applyNumberFormat="1" applyFont="1" applyAlignment="1">
      <alignment horizontal="left" vertical="top"/>
    </xf>
    <xf numFmtId="0" fontId="0" fillId="0" borderId="0" xfId="0"/>
    <xf numFmtId="0" fontId="0" fillId="0" borderId="0" xfId="0"/>
    <xf numFmtId="0" fontId="0" fillId="0" borderId="0" xfId="0"/>
    <xf numFmtId="0" fontId="1" fillId="0" borderId="0" xfId="0" applyFont="1"/>
    <xf numFmtId="0" fontId="11" fillId="0" borderId="0" xfId="0" applyFont="1"/>
    <xf numFmtId="0" fontId="0" fillId="0" borderId="0" xfId="0" applyAlignment="1">
      <alignment horizontal="left"/>
    </xf>
    <xf numFmtId="0" fontId="12" fillId="8" borderId="0" xfId="0" applyFont="1" applyFill="1"/>
    <xf numFmtId="0" fontId="13" fillId="0" borderId="0" xfId="0" applyFont="1"/>
    <xf numFmtId="0" fontId="2" fillId="8" borderId="0" xfId="0" applyFont="1" applyFill="1"/>
    <xf numFmtId="0" fontId="13" fillId="9" borderId="0" xfId="0" applyFont="1" applyFill="1"/>
    <xf numFmtId="0" fontId="15" fillId="9" borderId="0" xfId="0" applyFont="1" applyFill="1"/>
    <xf numFmtId="0" fontId="14" fillId="9" borderId="0" xfId="0" applyFont="1" applyFill="1"/>
  </cellXfs>
  <cellStyles count="2">
    <cellStyle name="Normal" xfId="0" builtinId="0"/>
    <cellStyle name="Percent" xfId="1" builtinId="5"/>
  </cellStyles>
  <dxfs count="9">
    <dxf>
      <fill>
        <patternFill>
          <bgColor theme="0" tint="-0.14996795556505021"/>
        </patternFill>
      </fill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top/>
        <bottom/>
      </border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200025</xdr:colOff>
          <xdr:row>0</xdr:row>
          <xdr:rowOff>47625</xdr:rowOff>
        </xdr:from>
        <xdr:to>
          <xdr:col>27</xdr:col>
          <xdr:colOff>323850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New Allocation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200025</xdr:colOff>
          <xdr:row>1</xdr:row>
          <xdr:rowOff>180975</xdr:rowOff>
        </xdr:from>
        <xdr:to>
          <xdr:col>27</xdr:col>
          <xdr:colOff>323850</xdr:colOff>
          <xdr:row>3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Combination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200025</xdr:colOff>
          <xdr:row>3</xdr:row>
          <xdr:rowOff>133350</xdr:rowOff>
        </xdr:from>
        <xdr:to>
          <xdr:col>27</xdr:col>
          <xdr:colOff>323850</xdr:colOff>
          <xdr:row>5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Combination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0</xdr:row>
          <xdr:rowOff>47625</xdr:rowOff>
        </xdr:from>
        <xdr:to>
          <xdr:col>22</xdr:col>
          <xdr:colOff>171450</xdr:colOff>
          <xdr:row>1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 :)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34998626667073579"/>
  </sheetPr>
  <dimension ref="A1:DJ60"/>
  <sheetViews>
    <sheetView workbookViewId="0">
      <selection sqref="A1:DJ60"/>
    </sheetView>
  </sheetViews>
  <sheetFormatPr defaultRowHeight="15" x14ac:dyDescent="0.25"/>
  <cols>
    <col min="1" max="1" width="5.28515625" bestFit="1" customWidth="1"/>
    <col min="2" max="2" width="20.85546875" bestFit="1" customWidth="1"/>
    <col min="3" max="3" width="4.42578125" bestFit="1" customWidth="1"/>
    <col min="4" max="4" width="5.140625" bestFit="1" customWidth="1"/>
    <col min="5" max="5" width="4.42578125" bestFit="1" customWidth="1"/>
    <col min="6" max="6" width="5.28515625" bestFit="1" customWidth="1"/>
    <col min="7" max="7" width="4.28515625" bestFit="1" customWidth="1"/>
    <col min="8" max="8" width="4" bestFit="1" customWidth="1"/>
    <col min="9" max="9" width="4.42578125" bestFit="1" customWidth="1"/>
    <col min="11" max="11" width="7.5703125" customWidth="1"/>
    <col min="12" max="12" width="6.85546875" customWidth="1"/>
  </cols>
  <sheetData>
    <row r="1" spans="1:114" x14ac:dyDescent="0.25">
      <c r="A1" s="104" t="s">
        <v>25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</row>
    <row r="2" spans="1:114" x14ac:dyDescent="0.2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</row>
    <row r="3" spans="1:114" x14ac:dyDescent="0.25">
      <c r="A3" s="106" t="s">
        <v>60</v>
      </c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</row>
    <row r="4" spans="1:114" x14ac:dyDescent="0.25">
      <c r="A4" s="106" t="s">
        <v>62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</row>
    <row r="5" spans="1:114" x14ac:dyDescent="0.25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109"/>
      <c r="BZ5" s="109"/>
      <c r="CA5" s="109"/>
      <c r="CB5" s="109"/>
      <c r="CC5" s="109"/>
      <c r="CD5" s="109"/>
      <c r="CE5" s="109"/>
      <c r="CF5" s="109"/>
      <c r="CG5" s="109"/>
      <c r="CH5" s="109"/>
      <c r="CI5" s="109"/>
      <c r="CJ5" s="109"/>
      <c r="CK5" s="109"/>
      <c r="CL5" s="109"/>
      <c r="CM5" s="109"/>
      <c r="CN5" s="109"/>
      <c r="CO5" s="109"/>
      <c r="CP5" s="109"/>
      <c r="CQ5" s="109"/>
      <c r="CR5" s="109"/>
      <c r="CS5" s="109"/>
      <c r="CT5" s="109"/>
      <c r="CU5" s="109"/>
      <c r="CV5" s="109"/>
      <c r="CW5" s="109"/>
      <c r="CX5" s="109"/>
      <c r="CY5" s="109"/>
      <c r="CZ5" s="109"/>
      <c r="DA5" s="109"/>
      <c r="DB5" s="109"/>
      <c r="DC5" s="109"/>
      <c r="DD5" s="109"/>
      <c r="DE5" s="109"/>
      <c r="DF5" s="109"/>
      <c r="DG5" s="109"/>
      <c r="DH5" s="109"/>
      <c r="DI5" s="109"/>
      <c r="DJ5" s="109"/>
    </row>
    <row r="6" spans="1:114" x14ac:dyDescent="0.25">
      <c r="A6" s="106" t="s">
        <v>63</v>
      </c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</row>
    <row r="7" spans="1:114" x14ac:dyDescent="0.25">
      <c r="A7" s="109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09"/>
      <c r="CL7" s="109"/>
      <c r="CM7" s="109"/>
      <c r="CN7" s="109"/>
      <c r="CO7" s="109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09"/>
      <c r="DD7" s="109"/>
      <c r="DE7" s="109"/>
      <c r="DF7" s="109"/>
      <c r="DG7" s="109"/>
      <c r="DH7" s="109"/>
      <c r="DI7" s="109"/>
      <c r="DJ7" s="109"/>
    </row>
    <row r="8" spans="1:114" x14ac:dyDescent="0.25">
      <c r="A8" s="110"/>
      <c r="B8" s="110"/>
      <c r="C8" s="111" t="s">
        <v>40</v>
      </c>
      <c r="D8" s="111" t="s">
        <v>40</v>
      </c>
      <c r="E8" s="111" t="s">
        <v>40</v>
      </c>
      <c r="F8" s="111" t="s">
        <v>41</v>
      </c>
      <c r="G8" s="111" t="s">
        <v>41</v>
      </c>
      <c r="H8" s="111" t="s">
        <v>41</v>
      </c>
      <c r="I8" s="111" t="s">
        <v>41</v>
      </c>
      <c r="J8" s="111" t="s">
        <v>41</v>
      </c>
      <c r="K8" s="111" t="s">
        <v>41</v>
      </c>
      <c r="L8" s="111" t="s">
        <v>41</v>
      </c>
      <c r="M8" s="111" t="s">
        <v>41</v>
      </c>
      <c r="N8" s="111" t="s">
        <v>41</v>
      </c>
      <c r="O8" s="111" t="s">
        <v>41</v>
      </c>
      <c r="P8" s="111" t="s">
        <v>41</v>
      </c>
      <c r="Q8" s="111" t="s">
        <v>41</v>
      </c>
      <c r="R8" s="111" t="s">
        <v>41</v>
      </c>
      <c r="S8" s="111" t="s">
        <v>41</v>
      </c>
      <c r="T8" s="111" t="s">
        <v>41</v>
      </c>
      <c r="U8" s="111" t="s">
        <v>41</v>
      </c>
      <c r="V8" s="111" t="s">
        <v>41</v>
      </c>
      <c r="W8" s="111" t="s">
        <v>41</v>
      </c>
      <c r="X8" s="111" t="s">
        <v>41</v>
      </c>
      <c r="Y8" s="111" t="s">
        <v>41</v>
      </c>
      <c r="Z8" s="111" t="s">
        <v>41</v>
      </c>
      <c r="AA8" s="111" t="s">
        <v>41</v>
      </c>
      <c r="AB8" s="111" t="s">
        <v>41</v>
      </c>
      <c r="AC8" s="111" t="s">
        <v>41</v>
      </c>
      <c r="AD8" s="111" t="s">
        <v>41</v>
      </c>
      <c r="AE8" s="111" t="s">
        <v>41</v>
      </c>
      <c r="AF8" s="111" t="s">
        <v>41</v>
      </c>
      <c r="AG8" s="111" t="s">
        <v>41</v>
      </c>
      <c r="AH8" s="111" t="s">
        <v>41</v>
      </c>
      <c r="AI8" s="111" t="s">
        <v>41</v>
      </c>
      <c r="AJ8" s="111" t="s">
        <v>41</v>
      </c>
      <c r="AK8" s="111" t="s">
        <v>42</v>
      </c>
      <c r="AL8" s="111" t="s">
        <v>42</v>
      </c>
      <c r="AM8" s="111" t="s">
        <v>42</v>
      </c>
      <c r="AN8" s="111" t="s">
        <v>42</v>
      </c>
      <c r="AO8" s="111" t="s">
        <v>42</v>
      </c>
      <c r="AP8" s="111" t="s">
        <v>42</v>
      </c>
      <c r="AQ8" s="111" t="s">
        <v>42</v>
      </c>
      <c r="AR8" s="111" t="s">
        <v>42</v>
      </c>
      <c r="AS8" s="111" t="s">
        <v>42</v>
      </c>
      <c r="AT8" s="111" t="s">
        <v>42</v>
      </c>
      <c r="AU8" s="111" t="s">
        <v>42</v>
      </c>
      <c r="AV8" s="111" t="s">
        <v>42</v>
      </c>
      <c r="AW8" s="111" t="s">
        <v>42</v>
      </c>
      <c r="AX8" s="111" t="s">
        <v>42</v>
      </c>
      <c r="AY8" s="111" t="s">
        <v>42</v>
      </c>
      <c r="AZ8" s="111" t="s">
        <v>42</v>
      </c>
      <c r="BA8" s="111" t="s">
        <v>42</v>
      </c>
      <c r="BB8" s="111" t="s">
        <v>42</v>
      </c>
      <c r="BC8" s="111" t="s">
        <v>42</v>
      </c>
      <c r="BD8" s="111" t="s">
        <v>42</v>
      </c>
      <c r="BE8" s="111" t="s">
        <v>42</v>
      </c>
      <c r="BF8" s="111" t="s">
        <v>42</v>
      </c>
      <c r="BG8" s="111" t="s">
        <v>42</v>
      </c>
      <c r="BH8" s="111" t="s">
        <v>42</v>
      </c>
      <c r="BI8" s="111" t="s">
        <v>42</v>
      </c>
      <c r="BJ8" s="111" t="s">
        <v>42</v>
      </c>
      <c r="BK8" s="111" t="s">
        <v>42</v>
      </c>
      <c r="BL8" s="111" t="s">
        <v>42</v>
      </c>
      <c r="BM8" s="111" t="s">
        <v>43</v>
      </c>
      <c r="BN8" s="111" t="s">
        <v>43</v>
      </c>
      <c r="BO8" s="111" t="s">
        <v>43</v>
      </c>
      <c r="BP8" s="111" t="s">
        <v>43</v>
      </c>
      <c r="BQ8" s="111" t="s">
        <v>43</v>
      </c>
      <c r="BR8" s="111" t="s">
        <v>43</v>
      </c>
      <c r="BS8" s="111" t="s">
        <v>43</v>
      </c>
      <c r="BT8" s="111" t="s">
        <v>43</v>
      </c>
      <c r="BU8" s="111" t="s">
        <v>43</v>
      </c>
      <c r="BV8" s="111" t="s">
        <v>43</v>
      </c>
      <c r="BW8" s="111" t="s">
        <v>43</v>
      </c>
      <c r="BX8" s="111" t="s">
        <v>43</v>
      </c>
      <c r="BY8" s="111" t="s">
        <v>43</v>
      </c>
      <c r="BZ8" s="111" t="s">
        <v>43</v>
      </c>
      <c r="CA8" s="111" t="s">
        <v>43</v>
      </c>
      <c r="CB8" s="111" t="s">
        <v>43</v>
      </c>
      <c r="CC8" s="111" t="s">
        <v>43</v>
      </c>
      <c r="CD8" s="111" t="s">
        <v>43</v>
      </c>
      <c r="CE8" s="111" t="s">
        <v>43</v>
      </c>
      <c r="CF8" s="111" t="s">
        <v>43</v>
      </c>
      <c r="CG8" s="111" t="s">
        <v>43</v>
      </c>
      <c r="CH8" s="111" t="s">
        <v>43</v>
      </c>
      <c r="CI8" s="111" t="s">
        <v>43</v>
      </c>
      <c r="CJ8" s="111" t="s">
        <v>43</v>
      </c>
      <c r="CK8" s="111" t="s">
        <v>43</v>
      </c>
      <c r="CL8" s="111" t="s">
        <v>43</v>
      </c>
      <c r="CM8" s="111" t="s">
        <v>43</v>
      </c>
      <c r="CN8" s="111" t="s">
        <v>43</v>
      </c>
      <c r="CO8" s="111" t="s">
        <v>43</v>
      </c>
      <c r="CP8" s="111" t="s">
        <v>43</v>
      </c>
      <c r="CQ8" s="111" t="s">
        <v>43</v>
      </c>
      <c r="CR8" s="111" t="s">
        <v>57</v>
      </c>
      <c r="CS8" s="111" t="s">
        <v>57</v>
      </c>
      <c r="CT8" s="111" t="s">
        <v>57</v>
      </c>
      <c r="CU8" s="111" t="s">
        <v>57</v>
      </c>
      <c r="CV8" s="111" t="s">
        <v>57</v>
      </c>
      <c r="CW8" s="111" t="s">
        <v>57</v>
      </c>
      <c r="CX8" s="111" t="s">
        <v>57</v>
      </c>
      <c r="CY8" s="111" t="s">
        <v>57</v>
      </c>
      <c r="CZ8" s="111" t="s">
        <v>57</v>
      </c>
      <c r="DA8" s="111" t="s">
        <v>57</v>
      </c>
      <c r="DB8" s="111" t="s">
        <v>57</v>
      </c>
      <c r="DC8" s="111" t="s">
        <v>57</v>
      </c>
      <c r="DD8" s="111" t="s">
        <v>57</v>
      </c>
      <c r="DE8" s="111" t="s">
        <v>57</v>
      </c>
      <c r="DF8" s="111" t="s">
        <v>57</v>
      </c>
      <c r="DG8" s="111" t="s">
        <v>57</v>
      </c>
      <c r="DH8" s="111" t="s">
        <v>57</v>
      </c>
      <c r="DI8" s="111" t="s">
        <v>57</v>
      </c>
      <c r="DJ8" s="111" t="s">
        <v>57</v>
      </c>
    </row>
    <row r="9" spans="1:114" x14ac:dyDescent="0.25">
      <c r="A9" s="110"/>
      <c r="B9" s="110"/>
      <c r="C9" s="111">
        <v>29</v>
      </c>
      <c r="D9" s="111">
        <v>30</v>
      </c>
      <c r="E9" s="111">
        <v>31</v>
      </c>
      <c r="F9" s="111">
        <v>1</v>
      </c>
      <c r="G9" s="111">
        <v>2</v>
      </c>
      <c r="H9" s="111">
        <v>3</v>
      </c>
      <c r="I9" s="111">
        <v>4</v>
      </c>
      <c r="J9" s="111">
        <v>5</v>
      </c>
      <c r="K9" s="111">
        <v>6</v>
      </c>
      <c r="L9" s="111">
        <v>7</v>
      </c>
      <c r="M9" s="111">
        <v>8</v>
      </c>
      <c r="N9" s="111">
        <v>9</v>
      </c>
      <c r="O9" s="111">
        <v>10</v>
      </c>
      <c r="P9" s="111">
        <v>11</v>
      </c>
      <c r="Q9" s="111">
        <v>12</v>
      </c>
      <c r="R9" s="111">
        <v>13</v>
      </c>
      <c r="S9" s="111">
        <v>14</v>
      </c>
      <c r="T9" s="111">
        <v>15</v>
      </c>
      <c r="U9" s="111">
        <v>16</v>
      </c>
      <c r="V9" s="111">
        <v>17</v>
      </c>
      <c r="W9" s="111">
        <v>18</v>
      </c>
      <c r="X9" s="111">
        <v>19</v>
      </c>
      <c r="Y9" s="111">
        <v>20</v>
      </c>
      <c r="Z9" s="111">
        <v>21</v>
      </c>
      <c r="AA9" s="111">
        <v>22</v>
      </c>
      <c r="AB9" s="111">
        <v>23</v>
      </c>
      <c r="AC9" s="111">
        <v>24</v>
      </c>
      <c r="AD9" s="111">
        <v>25</v>
      </c>
      <c r="AE9" s="111">
        <v>26</v>
      </c>
      <c r="AF9" s="111">
        <v>27</v>
      </c>
      <c r="AG9" s="111">
        <v>28</v>
      </c>
      <c r="AH9" s="111">
        <v>29</v>
      </c>
      <c r="AI9" s="111">
        <v>30</v>
      </c>
      <c r="AJ9" s="111">
        <v>31</v>
      </c>
      <c r="AK9" s="111">
        <v>1</v>
      </c>
      <c r="AL9" s="111">
        <v>2</v>
      </c>
      <c r="AM9" s="111">
        <v>3</v>
      </c>
      <c r="AN9" s="111">
        <v>4</v>
      </c>
      <c r="AO9" s="111">
        <v>5</v>
      </c>
      <c r="AP9" s="111">
        <v>6</v>
      </c>
      <c r="AQ9" s="111">
        <v>7</v>
      </c>
      <c r="AR9" s="111">
        <v>8</v>
      </c>
      <c r="AS9" s="111">
        <v>9</v>
      </c>
      <c r="AT9" s="111">
        <v>10</v>
      </c>
      <c r="AU9" s="111">
        <v>11</v>
      </c>
      <c r="AV9" s="111">
        <v>12</v>
      </c>
      <c r="AW9" s="111">
        <v>13</v>
      </c>
      <c r="AX9" s="111">
        <v>14</v>
      </c>
      <c r="AY9" s="111">
        <v>15</v>
      </c>
      <c r="AZ9" s="111">
        <v>16</v>
      </c>
      <c r="BA9" s="111">
        <v>17</v>
      </c>
      <c r="BB9" s="111">
        <v>18</v>
      </c>
      <c r="BC9" s="111">
        <v>19</v>
      </c>
      <c r="BD9" s="111">
        <v>20</v>
      </c>
      <c r="BE9" s="111">
        <v>21</v>
      </c>
      <c r="BF9" s="111">
        <v>22</v>
      </c>
      <c r="BG9" s="111">
        <v>23</v>
      </c>
      <c r="BH9" s="111">
        <v>24</v>
      </c>
      <c r="BI9" s="111">
        <v>25</v>
      </c>
      <c r="BJ9" s="111">
        <v>26</v>
      </c>
      <c r="BK9" s="111">
        <v>27</v>
      </c>
      <c r="BL9" s="111">
        <v>28</v>
      </c>
      <c r="BM9" s="111">
        <v>1</v>
      </c>
      <c r="BN9" s="111">
        <v>2</v>
      </c>
      <c r="BO9" s="111">
        <v>3</v>
      </c>
      <c r="BP9" s="111">
        <v>4</v>
      </c>
      <c r="BQ9" s="111">
        <v>5</v>
      </c>
      <c r="BR9" s="111">
        <v>6</v>
      </c>
      <c r="BS9" s="111">
        <v>7</v>
      </c>
      <c r="BT9" s="111">
        <v>8</v>
      </c>
      <c r="BU9" s="111">
        <v>9</v>
      </c>
      <c r="BV9" s="111">
        <v>10</v>
      </c>
      <c r="BW9" s="111">
        <v>11</v>
      </c>
      <c r="BX9" s="111">
        <v>12</v>
      </c>
      <c r="BY9" s="111">
        <v>13</v>
      </c>
      <c r="BZ9" s="111">
        <v>14</v>
      </c>
      <c r="CA9" s="111">
        <v>15</v>
      </c>
      <c r="CB9" s="111">
        <v>16</v>
      </c>
      <c r="CC9" s="111">
        <v>17</v>
      </c>
      <c r="CD9" s="111">
        <v>18</v>
      </c>
      <c r="CE9" s="111">
        <v>19</v>
      </c>
      <c r="CF9" s="111">
        <v>20</v>
      </c>
      <c r="CG9" s="111">
        <v>21</v>
      </c>
      <c r="CH9" s="111">
        <v>22</v>
      </c>
      <c r="CI9" s="111">
        <v>23</v>
      </c>
      <c r="CJ9" s="111">
        <v>24</v>
      </c>
      <c r="CK9" s="111">
        <v>25</v>
      </c>
      <c r="CL9" s="111">
        <v>26</v>
      </c>
      <c r="CM9" s="111">
        <v>27</v>
      </c>
      <c r="CN9" s="111">
        <v>28</v>
      </c>
      <c r="CO9" s="111">
        <v>29</v>
      </c>
      <c r="CP9" s="111">
        <v>30</v>
      </c>
      <c r="CQ9" s="111">
        <v>31</v>
      </c>
      <c r="CR9" s="111">
        <v>1</v>
      </c>
      <c r="CS9" s="111">
        <v>2</v>
      </c>
      <c r="CT9" s="111">
        <v>3</v>
      </c>
      <c r="CU9" s="111">
        <v>4</v>
      </c>
      <c r="CV9" s="111">
        <v>5</v>
      </c>
      <c r="CW9" s="111">
        <v>6</v>
      </c>
      <c r="CX9" s="111">
        <v>7</v>
      </c>
      <c r="CY9" s="111">
        <v>8</v>
      </c>
      <c r="CZ9" s="111">
        <v>9</v>
      </c>
      <c r="DA9" s="111">
        <v>10</v>
      </c>
      <c r="DB9" s="111">
        <v>11</v>
      </c>
      <c r="DC9" s="111">
        <v>12</v>
      </c>
      <c r="DD9" s="111">
        <v>13</v>
      </c>
      <c r="DE9" s="111">
        <v>14</v>
      </c>
      <c r="DF9" s="111">
        <v>15</v>
      </c>
      <c r="DG9" s="111">
        <v>16</v>
      </c>
      <c r="DH9" s="111">
        <v>17</v>
      </c>
      <c r="DI9" s="111">
        <v>18</v>
      </c>
      <c r="DJ9" s="111">
        <v>19</v>
      </c>
    </row>
    <row r="10" spans="1:114" x14ac:dyDescent="0.25">
      <c r="A10" s="112" t="s">
        <v>26</v>
      </c>
      <c r="B10" s="112" t="s">
        <v>27</v>
      </c>
      <c r="C10" s="112" t="s">
        <v>28</v>
      </c>
      <c r="D10" s="112" t="s">
        <v>29</v>
      </c>
      <c r="E10" s="112" t="s">
        <v>30</v>
      </c>
      <c r="F10" s="112" t="s">
        <v>31</v>
      </c>
      <c r="G10" s="112" t="s">
        <v>32</v>
      </c>
      <c r="H10" s="112" t="s">
        <v>33</v>
      </c>
      <c r="I10" s="112" t="s">
        <v>34</v>
      </c>
      <c r="J10" s="112" t="s">
        <v>28</v>
      </c>
      <c r="K10" s="112" t="s">
        <v>29</v>
      </c>
      <c r="L10" s="112" t="s">
        <v>30</v>
      </c>
      <c r="M10" s="112" t="s">
        <v>31</v>
      </c>
      <c r="N10" s="112" t="s">
        <v>32</v>
      </c>
      <c r="O10" s="112" t="s">
        <v>33</v>
      </c>
      <c r="P10" s="112" t="s">
        <v>34</v>
      </c>
      <c r="Q10" s="112" t="s">
        <v>28</v>
      </c>
      <c r="R10" s="112" t="s">
        <v>29</v>
      </c>
      <c r="S10" s="112" t="s">
        <v>30</v>
      </c>
      <c r="T10" s="112" t="s">
        <v>31</v>
      </c>
      <c r="U10" s="112" t="s">
        <v>32</v>
      </c>
      <c r="V10" s="112" t="s">
        <v>33</v>
      </c>
      <c r="W10" s="112" t="s">
        <v>34</v>
      </c>
      <c r="X10" s="112" t="s">
        <v>28</v>
      </c>
      <c r="Y10" s="112" t="s">
        <v>29</v>
      </c>
      <c r="Z10" s="112" t="s">
        <v>30</v>
      </c>
      <c r="AA10" s="112" t="s">
        <v>31</v>
      </c>
      <c r="AB10" s="112" t="s">
        <v>32</v>
      </c>
      <c r="AC10" s="112" t="s">
        <v>33</v>
      </c>
      <c r="AD10" s="112" t="s">
        <v>34</v>
      </c>
      <c r="AE10" s="112" t="s">
        <v>28</v>
      </c>
      <c r="AF10" s="112" t="s">
        <v>29</v>
      </c>
      <c r="AG10" s="112" t="s">
        <v>30</v>
      </c>
      <c r="AH10" s="112" t="s">
        <v>31</v>
      </c>
      <c r="AI10" s="112" t="s">
        <v>32</v>
      </c>
      <c r="AJ10" s="112" t="s">
        <v>33</v>
      </c>
      <c r="AK10" s="112" t="s">
        <v>34</v>
      </c>
      <c r="AL10" s="112" t="s">
        <v>28</v>
      </c>
      <c r="AM10" s="112" t="s">
        <v>29</v>
      </c>
      <c r="AN10" s="112" t="s">
        <v>30</v>
      </c>
      <c r="AO10" s="112" t="s">
        <v>31</v>
      </c>
      <c r="AP10" s="112" t="s">
        <v>32</v>
      </c>
      <c r="AQ10" s="112" t="s">
        <v>33</v>
      </c>
      <c r="AR10" s="112" t="s">
        <v>34</v>
      </c>
      <c r="AS10" s="112" t="s">
        <v>28</v>
      </c>
      <c r="AT10" s="112" t="s">
        <v>29</v>
      </c>
      <c r="AU10" s="112" t="s">
        <v>30</v>
      </c>
      <c r="AV10" s="112" t="s">
        <v>31</v>
      </c>
      <c r="AW10" s="112" t="s">
        <v>32</v>
      </c>
      <c r="AX10" s="112" t="s">
        <v>33</v>
      </c>
      <c r="AY10" s="112" t="s">
        <v>34</v>
      </c>
      <c r="AZ10" s="112" t="s">
        <v>28</v>
      </c>
      <c r="BA10" s="112" t="s">
        <v>29</v>
      </c>
      <c r="BB10" s="112" t="s">
        <v>30</v>
      </c>
      <c r="BC10" s="112" t="s">
        <v>31</v>
      </c>
      <c r="BD10" s="112" t="s">
        <v>32</v>
      </c>
      <c r="BE10" s="112" t="s">
        <v>33</v>
      </c>
      <c r="BF10" s="112" t="s">
        <v>34</v>
      </c>
      <c r="BG10" s="112" t="s">
        <v>28</v>
      </c>
      <c r="BH10" s="112" t="s">
        <v>29</v>
      </c>
      <c r="BI10" s="112" t="s">
        <v>30</v>
      </c>
      <c r="BJ10" s="112" t="s">
        <v>31</v>
      </c>
      <c r="BK10" s="112" t="s">
        <v>32</v>
      </c>
      <c r="BL10" s="112" t="s">
        <v>33</v>
      </c>
      <c r="BM10" s="112" t="s">
        <v>34</v>
      </c>
      <c r="BN10" s="112" t="s">
        <v>28</v>
      </c>
      <c r="BO10" s="112" t="s">
        <v>29</v>
      </c>
      <c r="BP10" s="112" t="s">
        <v>30</v>
      </c>
      <c r="BQ10" s="112" t="s">
        <v>31</v>
      </c>
      <c r="BR10" s="112" t="s">
        <v>32</v>
      </c>
      <c r="BS10" s="112" t="s">
        <v>33</v>
      </c>
      <c r="BT10" s="112" t="s">
        <v>34</v>
      </c>
      <c r="BU10" s="112" t="s">
        <v>28</v>
      </c>
      <c r="BV10" s="112" t="s">
        <v>29</v>
      </c>
      <c r="BW10" s="112" t="s">
        <v>30</v>
      </c>
      <c r="BX10" s="112" t="s">
        <v>31</v>
      </c>
      <c r="BY10" s="112" t="s">
        <v>32</v>
      </c>
      <c r="BZ10" s="112" t="s">
        <v>33</v>
      </c>
      <c r="CA10" s="112" t="s">
        <v>34</v>
      </c>
      <c r="CB10" s="112" t="s">
        <v>28</v>
      </c>
      <c r="CC10" s="112" t="s">
        <v>29</v>
      </c>
      <c r="CD10" s="112" t="s">
        <v>30</v>
      </c>
      <c r="CE10" s="112" t="s">
        <v>31</v>
      </c>
      <c r="CF10" s="112" t="s">
        <v>32</v>
      </c>
      <c r="CG10" s="112" t="s">
        <v>33</v>
      </c>
      <c r="CH10" s="112" t="s">
        <v>34</v>
      </c>
      <c r="CI10" s="112" t="s">
        <v>28</v>
      </c>
      <c r="CJ10" s="112" t="s">
        <v>29</v>
      </c>
      <c r="CK10" s="112" t="s">
        <v>30</v>
      </c>
      <c r="CL10" s="112" t="s">
        <v>31</v>
      </c>
      <c r="CM10" s="112" t="s">
        <v>32</v>
      </c>
      <c r="CN10" s="112" t="s">
        <v>33</v>
      </c>
      <c r="CO10" s="112" t="s">
        <v>34</v>
      </c>
      <c r="CP10" s="112" t="s">
        <v>28</v>
      </c>
      <c r="CQ10" s="112" t="s">
        <v>29</v>
      </c>
      <c r="CR10" s="112" t="s">
        <v>30</v>
      </c>
      <c r="CS10" s="112" t="s">
        <v>31</v>
      </c>
      <c r="CT10" s="112" t="s">
        <v>32</v>
      </c>
      <c r="CU10" s="112" t="s">
        <v>33</v>
      </c>
      <c r="CV10" s="112" t="s">
        <v>34</v>
      </c>
      <c r="CW10" s="112" t="s">
        <v>28</v>
      </c>
      <c r="CX10" s="112" t="s">
        <v>29</v>
      </c>
      <c r="CY10" s="112" t="s">
        <v>30</v>
      </c>
      <c r="CZ10" s="112" t="s">
        <v>31</v>
      </c>
      <c r="DA10" s="112" t="s">
        <v>32</v>
      </c>
      <c r="DB10" s="112" t="s">
        <v>33</v>
      </c>
      <c r="DC10" s="112" t="s">
        <v>34</v>
      </c>
      <c r="DD10" s="112" t="s">
        <v>28</v>
      </c>
      <c r="DE10" s="112" t="s">
        <v>29</v>
      </c>
      <c r="DF10" s="112" t="s">
        <v>30</v>
      </c>
      <c r="DG10" s="112" t="s">
        <v>31</v>
      </c>
      <c r="DH10" s="112" t="s">
        <v>32</v>
      </c>
      <c r="DI10" s="112" t="s">
        <v>33</v>
      </c>
      <c r="DJ10" s="112" t="s">
        <v>34</v>
      </c>
    </row>
    <row r="11" spans="1:114" x14ac:dyDescent="0.25">
      <c r="A11" s="113">
        <v>1</v>
      </c>
      <c r="B11" s="110" t="s">
        <v>64</v>
      </c>
      <c r="C11" s="114" t="s">
        <v>36</v>
      </c>
      <c r="D11" s="114" t="s">
        <v>36</v>
      </c>
      <c r="E11" s="114" t="s">
        <v>36</v>
      </c>
      <c r="F11" s="114" t="s">
        <v>36</v>
      </c>
      <c r="G11" s="114" t="s">
        <v>36</v>
      </c>
      <c r="H11" s="114" t="s">
        <v>36</v>
      </c>
      <c r="I11" s="114" t="s">
        <v>36</v>
      </c>
      <c r="J11" s="114" t="s">
        <v>36</v>
      </c>
      <c r="K11" s="114" t="s">
        <v>36</v>
      </c>
      <c r="L11" s="114" t="s">
        <v>36</v>
      </c>
      <c r="M11" s="114" t="s">
        <v>36</v>
      </c>
      <c r="N11" s="114" t="s">
        <v>36</v>
      </c>
      <c r="O11" s="114" t="s">
        <v>36</v>
      </c>
      <c r="P11" s="114" t="s">
        <v>36</v>
      </c>
      <c r="Q11" s="114" t="s">
        <v>36</v>
      </c>
      <c r="R11" s="114" t="s">
        <v>36</v>
      </c>
      <c r="S11" s="114" t="s">
        <v>36</v>
      </c>
      <c r="T11" s="114" t="s">
        <v>36</v>
      </c>
      <c r="U11" s="114" t="s">
        <v>36</v>
      </c>
      <c r="V11" s="114" t="s">
        <v>36</v>
      </c>
      <c r="W11" s="114" t="s">
        <v>36</v>
      </c>
      <c r="X11" s="114" t="s">
        <v>36</v>
      </c>
      <c r="Y11" s="114" t="s">
        <v>36</v>
      </c>
      <c r="Z11" s="114" t="s">
        <v>36</v>
      </c>
      <c r="AA11" s="114" t="s">
        <v>36</v>
      </c>
      <c r="AB11" s="114" t="s">
        <v>36</v>
      </c>
      <c r="AC11" s="114" t="s">
        <v>36</v>
      </c>
      <c r="AD11" s="114" t="s">
        <v>36</v>
      </c>
      <c r="AE11" s="114" t="s">
        <v>36</v>
      </c>
      <c r="AF11" s="114" t="s">
        <v>36</v>
      </c>
      <c r="AG11" s="114" t="s">
        <v>36</v>
      </c>
      <c r="AH11" s="114" t="s">
        <v>36</v>
      </c>
      <c r="AI11" s="114" t="s">
        <v>36</v>
      </c>
      <c r="AJ11" s="114" t="s">
        <v>36</v>
      </c>
      <c r="AK11" s="114" t="s">
        <v>36</v>
      </c>
      <c r="AL11" s="115"/>
      <c r="AM11" s="116" t="s">
        <v>35</v>
      </c>
      <c r="AN11" s="114" t="s">
        <v>35</v>
      </c>
      <c r="AO11" s="114" t="s">
        <v>35</v>
      </c>
      <c r="AP11" s="114" t="s">
        <v>35</v>
      </c>
      <c r="AQ11" s="114" t="s">
        <v>35</v>
      </c>
      <c r="AR11" s="114" t="s">
        <v>35</v>
      </c>
      <c r="AS11" s="114" t="s">
        <v>35</v>
      </c>
      <c r="AT11" s="114" t="s">
        <v>35</v>
      </c>
      <c r="AU11" s="114" t="s">
        <v>35</v>
      </c>
      <c r="AV11" s="114" t="s">
        <v>35</v>
      </c>
      <c r="AW11" s="114" t="s">
        <v>35</v>
      </c>
      <c r="AX11" s="114" t="s">
        <v>35</v>
      </c>
      <c r="AY11" s="114" t="s">
        <v>35</v>
      </c>
      <c r="AZ11" s="114" t="s">
        <v>35</v>
      </c>
      <c r="BA11" s="114" t="s">
        <v>35</v>
      </c>
      <c r="BB11" s="114" t="s">
        <v>35</v>
      </c>
      <c r="BC11" s="114" t="s">
        <v>35</v>
      </c>
      <c r="BD11" s="114" t="s">
        <v>35</v>
      </c>
      <c r="BE11" s="114" t="s">
        <v>35</v>
      </c>
      <c r="BF11" s="114" t="s">
        <v>35</v>
      </c>
      <c r="BG11" s="114" t="s">
        <v>35</v>
      </c>
      <c r="BH11" s="114" t="s">
        <v>35</v>
      </c>
      <c r="BI11" s="114" t="s">
        <v>35</v>
      </c>
      <c r="BJ11" s="114" t="s">
        <v>35</v>
      </c>
      <c r="BK11" s="114" t="s">
        <v>35</v>
      </c>
      <c r="BL11" s="114" t="s">
        <v>35</v>
      </c>
      <c r="BM11" s="114" t="s">
        <v>35</v>
      </c>
      <c r="BN11" s="114" t="s">
        <v>35</v>
      </c>
      <c r="BO11" s="114" t="s">
        <v>35</v>
      </c>
      <c r="BP11" s="114" t="s">
        <v>35</v>
      </c>
      <c r="BQ11" s="114" t="s">
        <v>35</v>
      </c>
      <c r="BR11" s="114" t="s">
        <v>35</v>
      </c>
      <c r="BS11" s="114" t="s">
        <v>35</v>
      </c>
      <c r="BT11" s="114" t="s">
        <v>35</v>
      </c>
      <c r="BU11" s="114" t="s">
        <v>35</v>
      </c>
      <c r="BV11" s="114" t="s">
        <v>35</v>
      </c>
      <c r="BW11" s="114" t="s">
        <v>35</v>
      </c>
      <c r="BX11" s="114" t="s">
        <v>35</v>
      </c>
      <c r="BY11" s="114" t="s">
        <v>35</v>
      </c>
      <c r="BZ11" s="114" t="s">
        <v>35</v>
      </c>
      <c r="CA11" s="114" t="s">
        <v>35</v>
      </c>
      <c r="CB11" s="114" t="s">
        <v>35</v>
      </c>
      <c r="CC11" s="114" t="s">
        <v>35</v>
      </c>
      <c r="CD11" s="114" t="s">
        <v>35</v>
      </c>
      <c r="CE11" s="114" t="s">
        <v>35</v>
      </c>
      <c r="CF11" s="114" t="s">
        <v>35</v>
      </c>
      <c r="CG11" s="114" t="s">
        <v>35</v>
      </c>
      <c r="CH11" s="114" t="s">
        <v>35</v>
      </c>
      <c r="CI11" s="114" t="s">
        <v>35</v>
      </c>
      <c r="CJ11" s="114" t="s">
        <v>35</v>
      </c>
      <c r="CK11" s="114" t="s">
        <v>35</v>
      </c>
      <c r="CL11" s="114" t="s">
        <v>35</v>
      </c>
      <c r="CM11" s="114" t="s">
        <v>35</v>
      </c>
      <c r="CN11" s="114" t="s">
        <v>35</v>
      </c>
      <c r="CO11" s="114" t="s">
        <v>35</v>
      </c>
      <c r="CP11" s="114" t="s">
        <v>35</v>
      </c>
      <c r="CQ11" s="114" t="s">
        <v>35</v>
      </c>
      <c r="CR11" s="114" t="s">
        <v>35</v>
      </c>
      <c r="CS11" s="114" t="s">
        <v>35</v>
      </c>
      <c r="CT11" s="114" t="s">
        <v>35</v>
      </c>
      <c r="CU11" s="114" t="s">
        <v>35</v>
      </c>
      <c r="CV11" s="114" t="s">
        <v>35</v>
      </c>
      <c r="CW11" s="114" t="s">
        <v>35</v>
      </c>
      <c r="CX11" s="114" t="s">
        <v>35</v>
      </c>
      <c r="CY11" s="114" t="s">
        <v>35</v>
      </c>
      <c r="CZ11" s="114" t="s">
        <v>35</v>
      </c>
      <c r="DA11" s="114" t="s">
        <v>35</v>
      </c>
      <c r="DB11" s="114" t="s">
        <v>35</v>
      </c>
      <c r="DC11" s="114" t="s">
        <v>35</v>
      </c>
      <c r="DD11" s="114" t="s">
        <v>35</v>
      </c>
      <c r="DE11" s="114" t="s">
        <v>35</v>
      </c>
      <c r="DF11" s="114" t="s">
        <v>35</v>
      </c>
      <c r="DG11" s="114" t="s">
        <v>35</v>
      </c>
      <c r="DH11" s="114" t="s">
        <v>35</v>
      </c>
      <c r="DI11" s="114" t="s">
        <v>35</v>
      </c>
      <c r="DJ11" s="114" t="s">
        <v>35</v>
      </c>
    </row>
    <row r="12" spans="1:114" x14ac:dyDescent="0.25">
      <c r="A12" s="113">
        <v>1</v>
      </c>
      <c r="B12" s="110" t="s">
        <v>65</v>
      </c>
      <c r="C12" s="114" t="s">
        <v>36</v>
      </c>
      <c r="D12" s="114" t="s">
        <v>36</v>
      </c>
      <c r="E12" s="114" t="s">
        <v>36</v>
      </c>
      <c r="F12" s="114" t="s">
        <v>36</v>
      </c>
      <c r="G12" s="114" t="s">
        <v>36</v>
      </c>
      <c r="H12" s="114" t="s">
        <v>36</v>
      </c>
      <c r="I12" s="114" t="s">
        <v>36</v>
      </c>
      <c r="J12" s="115"/>
      <c r="K12" s="116" t="s">
        <v>35</v>
      </c>
      <c r="L12" s="114" t="s">
        <v>35</v>
      </c>
      <c r="M12" s="114" t="s">
        <v>35</v>
      </c>
      <c r="N12" s="114" t="s">
        <v>35</v>
      </c>
      <c r="O12" s="114" t="s">
        <v>35</v>
      </c>
      <c r="P12" s="114" t="s">
        <v>35</v>
      </c>
      <c r="Q12" s="114" t="s">
        <v>35</v>
      </c>
      <c r="R12" s="114" t="s">
        <v>35</v>
      </c>
      <c r="S12" s="114" t="s">
        <v>35</v>
      </c>
      <c r="T12" s="114" t="s">
        <v>35</v>
      </c>
      <c r="U12" s="114" t="s">
        <v>35</v>
      </c>
      <c r="V12" s="114" t="s">
        <v>35</v>
      </c>
      <c r="W12" s="114" t="s">
        <v>35</v>
      </c>
      <c r="X12" s="114" t="s">
        <v>35</v>
      </c>
      <c r="Y12" s="114" t="s">
        <v>35</v>
      </c>
      <c r="Z12" s="114" t="s">
        <v>35</v>
      </c>
      <c r="AA12" s="114" t="s">
        <v>35</v>
      </c>
      <c r="AB12" s="114" t="s">
        <v>35</v>
      </c>
      <c r="AC12" s="114" t="s">
        <v>35</v>
      </c>
      <c r="AD12" s="114" t="s">
        <v>35</v>
      </c>
      <c r="AE12" s="114" t="s">
        <v>35</v>
      </c>
      <c r="AF12" s="114" t="s">
        <v>35</v>
      </c>
      <c r="AG12" s="114" t="s">
        <v>35</v>
      </c>
      <c r="AH12" s="114" t="s">
        <v>35</v>
      </c>
      <c r="AI12" s="114" t="s">
        <v>35</v>
      </c>
      <c r="AJ12" s="114" t="s">
        <v>35</v>
      </c>
      <c r="AK12" s="114" t="s">
        <v>35</v>
      </c>
      <c r="AL12" s="114" t="s">
        <v>35</v>
      </c>
      <c r="AM12" s="114" t="s">
        <v>35</v>
      </c>
      <c r="AN12" s="114" t="s">
        <v>35</v>
      </c>
      <c r="AO12" s="114" t="s">
        <v>35</v>
      </c>
      <c r="AP12" s="114" t="s">
        <v>35</v>
      </c>
      <c r="AQ12" s="114" t="s">
        <v>35</v>
      </c>
      <c r="AR12" s="114" t="s">
        <v>35</v>
      </c>
      <c r="AS12" s="114" t="s">
        <v>35</v>
      </c>
      <c r="AT12" s="114" t="s">
        <v>35</v>
      </c>
      <c r="AU12" s="114" t="s">
        <v>35</v>
      </c>
      <c r="AV12" s="114" t="s">
        <v>35</v>
      </c>
      <c r="AW12" s="114" t="s">
        <v>35</v>
      </c>
      <c r="AX12" s="114" t="s">
        <v>35</v>
      </c>
      <c r="AY12" s="114" t="s">
        <v>35</v>
      </c>
      <c r="AZ12" s="114" t="s">
        <v>35</v>
      </c>
      <c r="BA12" s="115"/>
      <c r="BB12" s="115"/>
      <c r="BC12" s="115"/>
      <c r="BD12" s="115"/>
      <c r="BE12" s="115"/>
      <c r="BF12" s="115"/>
      <c r="BG12" s="115"/>
      <c r="BH12" s="115"/>
      <c r="BI12" s="115"/>
      <c r="BJ12" s="115"/>
      <c r="BK12" s="115"/>
      <c r="BL12" s="115"/>
      <c r="BM12" s="115"/>
      <c r="BN12" s="115"/>
      <c r="BO12" s="115"/>
      <c r="BP12" s="115"/>
      <c r="BQ12" s="115"/>
      <c r="BR12" s="115"/>
      <c r="BS12" s="115"/>
      <c r="BT12" s="115"/>
      <c r="BU12" s="115"/>
      <c r="BV12" s="115"/>
      <c r="BW12" s="115"/>
      <c r="BX12" s="115"/>
      <c r="BY12" s="115"/>
      <c r="BZ12" s="115"/>
      <c r="CA12" s="115"/>
      <c r="CB12" s="115"/>
      <c r="CC12" s="115"/>
      <c r="CD12" s="115"/>
      <c r="CE12" s="115"/>
      <c r="CF12" s="115"/>
      <c r="CG12" s="115"/>
      <c r="CH12" s="115"/>
      <c r="CI12" s="115"/>
      <c r="CJ12" s="115"/>
      <c r="CK12" s="115"/>
      <c r="CL12" s="115"/>
      <c r="CM12" s="115"/>
      <c r="CN12" s="115"/>
      <c r="CO12" s="115"/>
      <c r="CP12" s="115"/>
      <c r="CQ12" s="115"/>
      <c r="CR12" s="115"/>
      <c r="CS12" s="115"/>
      <c r="CT12" s="115"/>
      <c r="CU12" s="115"/>
      <c r="CV12" s="115"/>
      <c r="CW12" s="115"/>
      <c r="CX12" s="115"/>
      <c r="CY12" s="115"/>
      <c r="CZ12" s="115"/>
      <c r="DA12" s="115"/>
      <c r="DB12" s="115"/>
      <c r="DC12" s="115"/>
      <c r="DD12" s="115"/>
      <c r="DE12" s="115"/>
      <c r="DF12" s="115"/>
      <c r="DG12" s="115"/>
      <c r="DH12" s="115"/>
      <c r="DI12" s="115"/>
      <c r="DJ12" s="115"/>
    </row>
    <row r="13" spans="1:114" x14ac:dyDescent="0.25">
      <c r="A13" s="113">
        <v>1</v>
      </c>
      <c r="B13" s="110" t="s">
        <v>66</v>
      </c>
      <c r="C13" s="114" t="s">
        <v>35</v>
      </c>
      <c r="D13" s="114" t="s">
        <v>35</v>
      </c>
      <c r="E13" s="114" t="s">
        <v>35</v>
      </c>
      <c r="F13" s="114" t="s">
        <v>35</v>
      </c>
      <c r="G13" s="114" t="s">
        <v>35</v>
      </c>
      <c r="H13" s="114" t="s">
        <v>35</v>
      </c>
      <c r="I13" s="114" t="s">
        <v>35</v>
      </c>
      <c r="J13" s="114" t="s">
        <v>35</v>
      </c>
      <c r="K13" s="116" t="s">
        <v>35</v>
      </c>
      <c r="L13" s="114" t="s">
        <v>35</v>
      </c>
      <c r="M13" s="114" t="s">
        <v>35</v>
      </c>
      <c r="N13" s="114" t="s">
        <v>35</v>
      </c>
      <c r="O13" s="114" t="s">
        <v>35</v>
      </c>
      <c r="P13" s="114" t="s">
        <v>35</v>
      </c>
      <c r="Q13" s="114" t="s">
        <v>35</v>
      </c>
      <c r="R13" s="114" t="s">
        <v>35</v>
      </c>
      <c r="S13" s="114" t="s">
        <v>35</v>
      </c>
      <c r="T13" s="114" t="s">
        <v>35</v>
      </c>
      <c r="U13" s="114" t="s">
        <v>35</v>
      </c>
      <c r="V13" s="114" t="s">
        <v>35</v>
      </c>
      <c r="W13" s="114" t="s">
        <v>35</v>
      </c>
      <c r="X13" s="114" t="s">
        <v>35</v>
      </c>
      <c r="Y13" s="114" t="s">
        <v>35</v>
      </c>
      <c r="Z13" s="114" t="s">
        <v>35</v>
      </c>
      <c r="AA13" s="114" t="s">
        <v>35</v>
      </c>
      <c r="AB13" s="114" t="s">
        <v>35</v>
      </c>
      <c r="AC13" s="114" t="s">
        <v>35</v>
      </c>
      <c r="AD13" s="114" t="s">
        <v>35</v>
      </c>
      <c r="AE13" s="114" t="s">
        <v>35</v>
      </c>
      <c r="AF13" s="114" t="s">
        <v>35</v>
      </c>
      <c r="AG13" s="114" t="s">
        <v>35</v>
      </c>
      <c r="AH13" s="114" t="s">
        <v>35</v>
      </c>
      <c r="AI13" s="114" t="s">
        <v>35</v>
      </c>
      <c r="AJ13" s="114" t="s">
        <v>35</v>
      </c>
      <c r="AK13" s="114" t="s">
        <v>35</v>
      </c>
      <c r="AL13" s="114" t="s">
        <v>35</v>
      </c>
      <c r="AM13" s="114" t="s">
        <v>35</v>
      </c>
      <c r="AN13" s="114" t="s">
        <v>35</v>
      </c>
      <c r="AO13" s="114" t="s">
        <v>35</v>
      </c>
      <c r="AP13" s="114" t="s">
        <v>35</v>
      </c>
      <c r="AQ13" s="114" t="s">
        <v>35</v>
      </c>
      <c r="AR13" s="114" t="s">
        <v>35</v>
      </c>
      <c r="AS13" s="114" t="s">
        <v>35</v>
      </c>
      <c r="AT13" s="114" t="s">
        <v>35</v>
      </c>
      <c r="AU13" s="114" t="s">
        <v>35</v>
      </c>
      <c r="AV13" s="114" t="s">
        <v>35</v>
      </c>
      <c r="AW13" s="114" t="s">
        <v>35</v>
      </c>
      <c r="AX13" s="114" t="s">
        <v>35</v>
      </c>
      <c r="AY13" s="114" t="s">
        <v>35</v>
      </c>
      <c r="AZ13" s="114" t="s">
        <v>35</v>
      </c>
      <c r="BA13" s="114" t="s">
        <v>35</v>
      </c>
      <c r="BB13" s="114" t="s">
        <v>35</v>
      </c>
      <c r="BC13" s="114" t="s">
        <v>35</v>
      </c>
      <c r="BD13" s="114" t="s">
        <v>35</v>
      </c>
      <c r="BE13" s="114" t="s">
        <v>35</v>
      </c>
      <c r="BF13" s="114" t="s">
        <v>35</v>
      </c>
      <c r="BG13" s="114" t="s">
        <v>35</v>
      </c>
      <c r="BH13" s="114" t="s">
        <v>35</v>
      </c>
      <c r="BI13" s="114" t="s">
        <v>35</v>
      </c>
      <c r="BJ13" s="114" t="s">
        <v>35</v>
      </c>
      <c r="BK13" s="114" t="s">
        <v>35</v>
      </c>
      <c r="BL13" s="114" t="s">
        <v>35</v>
      </c>
      <c r="BM13" s="114" t="s">
        <v>35</v>
      </c>
      <c r="BN13" s="114" t="s">
        <v>35</v>
      </c>
      <c r="BO13" s="114" t="s">
        <v>35</v>
      </c>
      <c r="BP13" s="114" t="s">
        <v>35</v>
      </c>
      <c r="BQ13" s="114" t="s">
        <v>35</v>
      </c>
      <c r="BR13" s="114" t="s">
        <v>35</v>
      </c>
      <c r="BS13" s="114" t="s">
        <v>35</v>
      </c>
      <c r="BT13" s="114" t="s">
        <v>35</v>
      </c>
      <c r="BU13" s="114" t="s">
        <v>35</v>
      </c>
      <c r="BV13" s="114" t="s">
        <v>35</v>
      </c>
      <c r="BW13" s="114" t="s">
        <v>35</v>
      </c>
      <c r="BX13" s="114" t="s">
        <v>35</v>
      </c>
      <c r="BY13" s="114" t="s">
        <v>35</v>
      </c>
      <c r="BZ13" s="114" t="s">
        <v>35</v>
      </c>
      <c r="CA13" s="114" t="s">
        <v>35</v>
      </c>
      <c r="CB13" s="114" t="s">
        <v>35</v>
      </c>
      <c r="CC13" s="114" t="s">
        <v>35</v>
      </c>
      <c r="CD13" s="114" t="s">
        <v>35</v>
      </c>
      <c r="CE13" s="114" t="s">
        <v>35</v>
      </c>
      <c r="CF13" s="114" t="s">
        <v>35</v>
      </c>
      <c r="CG13" s="114" t="s">
        <v>35</v>
      </c>
      <c r="CH13" s="114" t="s">
        <v>35</v>
      </c>
      <c r="CI13" s="114" t="s">
        <v>35</v>
      </c>
      <c r="CJ13" s="114" t="s">
        <v>35</v>
      </c>
      <c r="CK13" s="114" t="s">
        <v>35</v>
      </c>
      <c r="CL13" s="114" t="s">
        <v>35</v>
      </c>
      <c r="CM13" s="114" t="s">
        <v>35</v>
      </c>
      <c r="CN13" s="114" t="s">
        <v>35</v>
      </c>
      <c r="CO13" s="114" t="s">
        <v>35</v>
      </c>
      <c r="CP13" s="114" t="s">
        <v>35</v>
      </c>
      <c r="CQ13" s="114" t="s">
        <v>35</v>
      </c>
      <c r="CR13" s="114" t="s">
        <v>35</v>
      </c>
      <c r="CS13" s="114" t="s">
        <v>35</v>
      </c>
      <c r="CT13" s="114" t="s">
        <v>35</v>
      </c>
      <c r="CU13" s="114" t="s">
        <v>35</v>
      </c>
      <c r="CV13" s="114" t="s">
        <v>35</v>
      </c>
      <c r="CW13" s="115"/>
      <c r="CX13" s="115"/>
      <c r="CY13" s="115"/>
      <c r="CZ13" s="115"/>
      <c r="DA13" s="115"/>
      <c r="DB13" s="115"/>
      <c r="DC13" s="115"/>
      <c r="DD13" s="115"/>
      <c r="DE13" s="115"/>
      <c r="DF13" s="115"/>
      <c r="DG13" s="115"/>
      <c r="DH13" s="115"/>
      <c r="DI13" s="115"/>
      <c r="DJ13" s="115"/>
    </row>
    <row r="14" spans="1:114" x14ac:dyDescent="0.25">
      <c r="A14" s="113">
        <v>1</v>
      </c>
      <c r="B14" s="110" t="s">
        <v>67</v>
      </c>
      <c r="C14" s="114" t="s">
        <v>36</v>
      </c>
      <c r="D14" s="114" t="s">
        <v>36</v>
      </c>
      <c r="E14" s="114" t="s">
        <v>36</v>
      </c>
      <c r="F14" s="114" t="s">
        <v>36</v>
      </c>
      <c r="G14" s="114" t="s">
        <v>36</v>
      </c>
      <c r="H14" s="114" t="s">
        <v>36</v>
      </c>
      <c r="I14" s="114" t="s">
        <v>36</v>
      </c>
      <c r="J14" s="114" t="s">
        <v>36</v>
      </c>
      <c r="K14" s="114" t="s">
        <v>36</v>
      </c>
      <c r="L14" s="115"/>
      <c r="M14" s="115"/>
      <c r="N14" s="115"/>
      <c r="O14" s="115"/>
      <c r="P14" s="115"/>
      <c r="Q14" s="115"/>
      <c r="R14" s="115"/>
      <c r="S14" s="115"/>
      <c r="T14" s="115"/>
      <c r="U14" s="116" t="s">
        <v>36</v>
      </c>
      <c r="V14" s="114" t="s">
        <v>36</v>
      </c>
      <c r="W14" s="114" t="s">
        <v>36</v>
      </c>
      <c r="X14" s="114" t="s">
        <v>36</v>
      </c>
      <c r="Y14" s="114" t="s">
        <v>36</v>
      </c>
      <c r="Z14" s="114" t="s">
        <v>36</v>
      </c>
      <c r="AA14" s="114" t="s">
        <v>36</v>
      </c>
      <c r="AB14" s="114" t="s">
        <v>36</v>
      </c>
      <c r="AC14" s="114" t="s">
        <v>36</v>
      </c>
      <c r="AD14" s="114" t="s">
        <v>36</v>
      </c>
      <c r="AE14" s="114" t="s">
        <v>36</v>
      </c>
      <c r="AF14" s="114" t="s">
        <v>36</v>
      </c>
      <c r="AG14" s="114" t="s">
        <v>36</v>
      </c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5"/>
      <c r="BF14" s="115"/>
      <c r="BG14" s="115"/>
      <c r="BH14" s="115"/>
      <c r="BI14" s="115"/>
      <c r="BJ14" s="115"/>
      <c r="BK14" s="115"/>
      <c r="BL14" s="115"/>
      <c r="BM14" s="115"/>
      <c r="BN14" s="115"/>
      <c r="BO14" s="115"/>
      <c r="BP14" s="115"/>
      <c r="BQ14" s="115"/>
      <c r="BR14" s="115"/>
      <c r="BS14" s="115"/>
      <c r="BT14" s="115"/>
      <c r="BU14" s="115"/>
      <c r="BV14" s="115"/>
      <c r="BW14" s="115"/>
      <c r="BX14" s="115"/>
      <c r="BY14" s="115"/>
      <c r="BZ14" s="115"/>
      <c r="CA14" s="115"/>
      <c r="CB14" s="115"/>
      <c r="CC14" s="115"/>
      <c r="CD14" s="115"/>
      <c r="CE14" s="115"/>
      <c r="CF14" s="115"/>
      <c r="CG14" s="115"/>
      <c r="CH14" s="115"/>
      <c r="CI14" s="115"/>
      <c r="CJ14" s="115"/>
      <c r="CK14" s="115"/>
      <c r="CL14" s="115"/>
      <c r="CM14" s="115"/>
      <c r="CN14" s="115"/>
      <c r="CO14" s="115"/>
      <c r="CP14" s="115"/>
      <c r="CQ14" s="115"/>
      <c r="CR14" s="115"/>
      <c r="CS14" s="115"/>
      <c r="CT14" s="115"/>
      <c r="CU14" s="115"/>
      <c r="CV14" s="115"/>
      <c r="CW14" s="115"/>
      <c r="CX14" s="115"/>
      <c r="CY14" s="115"/>
      <c r="CZ14" s="115"/>
      <c r="DA14" s="115"/>
      <c r="DB14" s="115"/>
      <c r="DC14" s="115"/>
      <c r="DD14" s="115"/>
      <c r="DE14" s="115"/>
      <c r="DF14" s="115"/>
      <c r="DG14" s="115"/>
      <c r="DH14" s="115"/>
      <c r="DI14" s="115"/>
      <c r="DJ14" s="115"/>
    </row>
    <row r="15" spans="1:114" x14ac:dyDescent="0.25">
      <c r="A15" s="113">
        <v>1</v>
      </c>
      <c r="B15" s="110" t="s">
        <v>68</v>
      </c>
      <c r="C15" s="114" t="s">
        <v>36</v>
      </c>
      <c r="D15" s="114" t="s">
        <v>36</v>
      </c>
      <c r="E15" s="114" t="s">
        <v>36</v>
      </c>
      <c r="F15" s="114" t="s">
        <v>36</v>
      </c>
      <c r="G15" s="114" t="s">
        <v>36</v>
      </c>
      <c r="H15" s="114" t="s">
        <v>36</v>
      </c>
      <c r="I15" s="114" t="s">
        <v>36</v>
      </c>
      <c r="J15" s="114" t="s">
        <v>36</v>
      </c>
      <c r="K15" s="114" t="s">
        <v>36</v>
      </c>
      <c r="L15" s="114" t="s">
        <v>36</v>
      </c>
      <c r="M15" s="114" t="s">
        <v>36</v>
      </c>
      <c r="N15" s="114" t="s">
        <v>36</v>
      </c>
      <c r="O15" s="114" t="s">
        <v>36</v>
      </c>
      <c r="P15" s="114" t="s">
        <v>36</v>
      </c>
      <c r="Q15" s="114" t="s">
        <v>36</v>
      </c>
      <c r="R15" s="114" t="s">
        <v>36</v>
      </c>
      <c r="S15" s="114" t="s">
        <v>36</v>
      </c>
      <c r="T15" s="114" t="s">
        <v>36</v>
      </c>
      <c r="U15" s="114" t="s">
        <v>36</v>
      </c>
      <c r="V15" s="114" t="s">
        <v>36</v>
      </c>
      <c r="W15" s="114" t="s">
        <v>36</v>
      </c>
      <c r="X15" s="114" t="s">
        <v>36</v>
      </c>
      <c r="Y15" s="114" t="s">
        <v>36</v>
      </c>
      <c r="Z15" s="114" t="s">
        <v>36</v>
      </c>
      <c r="AA15" s="114" t="s">
        <v>36</v>
      </c>
      <c r="AB15" s="114" t="s">
        <v>36</v>
      </c>
      <c r="AC15" s="114" t="s">
        <v>36</v>
      </c>
      <c r="AD15" s="114" t="s">
        <v>36</v>
      </c>
      <c r="AE15" s="114" t="s">
        <v>36</v>
      </c>
      <c r="AF15" s="114" t="s">
        <v>36</v>
      </c>
      <c r="AG15" s="114" t="s">
        <v>36</v>
      </c>
      <c r="AH15" s="114" t="s">
        <v>36</v>
      </c>
      <c r="AI15" s="114" t="s">
        <v>36</v>
      </c>
      <c r="AJ15" s="114" t="s">
        <v>36</v>
      </c>
      <c r="AK15" s="114" t="s">
        <v>36</v>
      </c>
      <c r="AL15" s="114" t="s">
        <v>36</v>
      </c>
      <c r="AM15" s="114" t="s">
        <v>36</v>
      </c>
      <c r="AN15" s="114" t="s">
        <v>36</v>
      </c>
      <c r="AO15" s="114" t="s">
        <v>36</v>
      </c>
      <c r="AP15" s="114" t="s">
        <v>36</v>
      </c>
      <c r="AQ15" s="114" t="s">
        <v>36</v>
      </c>
      <c r="AR15" s="114" t="s">
        <v>36</v>
      </c>
      <c r="AS15" s="114" t="s">
        <v>36</v>
      </c>
      <c r="AT15" s="114" t="s">
        <v>36</v>
      </c>
      <c r="AU15" s="114" t="s">
        <v>36</v>
      </c>
      <c r="AV15" s="114" t="s">
        <v>36</v>
      </c>
      <c r="AW15" s="114" t="s">
        <v>36</v>
      </c>
      <c r="AX15" s="114" t="s">
        <v>36</v>
      </c>
      <c r="AY15" s="114" t="s">
        <v>36</v>
      </c>
      <c r="AZ15" s="114" t="s">
        <v>36</v>
      </c>
      <c r="BA15" s="114" t="s">
        <v>36</v>
      </c>
      <c r="BB15" s="114" t="s">
        <v>36</v>
      </c>
      <c r="BC15" s="114" t="s">
        <v>36</v>
      </c>
      <c r="BD15" s="114" t="s">
        <v>36</v>
      </c>
      <c r="BE15" s="114" t="s">
        <v>36</v>
      </c>
      <c r="BF15" s="114" t="s">
        <v>36</v>
      </c>
      <c r="BG15" s="114" t="s">
        <v>36</v>
      </c>
      <c r="BH15" s="114" t="s">
        <v>36</v>
      </c>
      <c r="BI15" s="114" t="s">
        <v>36</v>
      </c>
      <c r="BJ15" s="114" t="s">
        <v>36</v>
      </c>
      <c r="BK15" s="114" t="s">
        <v>36</v>
      </c>
      <c r="BL15" s="114" t="s">
        <v>36</v>
      </c>
      <c r="BM15" s="114" t="s">
        <v>36</v>
      </c>
      <c r="BN15" s="114" t="s">
        <v>36</v>
      </c>
      <c r="BO15" s="114" t="s">
        <v>36</v>
      </c>
      <c r="BP15" s="114" t="s">
        <v>36</v>
      </c>
      <c r="BQ15" s="114" t="s">
        <v>36</v>
      </c>
      <c r="BR15" s="114" t="s">
        <v>36</v>
      </c>
      <c r="BS15" s="114" t="s">
        <v>36</v>
      </c>
      <c r="BT15" s="114" t="s">
        <v>36</v>
      </c>
      <c r="BU15" s="114" t="s">
        <v>36</v>
      </c>
      <c r="BV15" s="114" t="s">
        <v>36</v>
      </c>
      <c r="BW15" s="114" t="s">
        <v>36</v>
      </c>
      <c r="BX15" s="114" t="s">
        <v>36</v>
      </c>
      <c r="BY15" s="114" t="s">
        <v>36</v>
      </c>
      <c r="BZ15" s="114" t="s">
        <v>36</v>
      </c>
      <c r="CA15" s="114" t="s">
        <v>36</v>
      </c>
      <c r="CB15" s="114" t="s">
        <v>36</v>
      </c>
      <c r="CC15" s="114" t="s">
        <v>36</v>
      </c>
      <c r="CD15" s="114" t="s">
        <v>36</v>
      </c>
      <c r="CE15" s="114" t="s">
        <v>36</v>
      </c>
      <c r="CF15" s="114" t="s">
        <v>36</v>
      </c>
      <c r="CG15" s="114" t="s">
        <v>36</v>
      </c>
      <c r="CH15" s="114" t="s">
        <v>36</v>
      </c>
      <c r="CI15" s="114" t="s">
        <v>36</v>
      </c>
      <c r="CJ15" s="114" t="s">
        <v>36</v>
      </c>
      <c r="CK15" s="114" t="s">
        <v>36</v>
      </c>
      <c r="CL15" s="114" t="s">
        <v>36</v>
      </c>
      <c r="CM15" s="114" t="s">
        <v>36</v>
      </c>
      <c r="CN15" s="114" t="s">
        <v>36</v>
      </c>
      <c r="CO15" s="114" t="s">
        <v>36</v>
      </c>
      <c r="CP15" s="114" t="s">
        <v>36</v>
      </c>
      <c r="CQ15" s="114" t="s">
        <v>36</v>
      </c>
      <c r="CR15" s="114" t="s">
        <v>36</v>
      </c>
      <c r="CS15" s="114" t="s">
        <v>36</v>
      </c>
      <c r="CT15" s="114" t="s">
        <v>36</v>
      </c>
      <c r="CU15" s="114" t="s">
        <v>36</v>
      </c>
      <c r="CV15" s="114" t="s">
        <v>36</v>
      </c>
      <c r="CW15" s="114" t="s">
        <v>36</v>
      </c>
      <c r="CX15" s="114" t="s">
        <v>36</v>
      </c>
      <c r="CY15" s="114" t="s">
        <v>36</v>
      </c>
      <c r="CZ15" s="114" t="s">
        <v>36</v>
      </c>
      <c r="DA15" s="114" t="s">
        <v>36</v>
      </c>
      <c r="DB15" s="114" t="s">
        <v>36</v>
      </c>
      <c r="DC15" s="114" t="s">
        <v>36</v>
      </c>
      <c r="DD15" s="114" t="s">
        <v>36</v>
      </c>
      <c r="DE15" s="114" t="s">
        <v>36</v>
      </c>
      <c r="DF15" s="114" t="s">
        <v>36</v>
      </c>
      <c r="DG15" s="114" t="s">
        <v>36</v>
      </c>
      <c r="DH15" s="114" t="s">
        <v>36</v>
      </c>
      <c r="DI15" s="114" t="s">
        <v>36</v>
      </c>
      <c r="DJ15" s="114" t="s">
        <v>36</v>
      </c>
    </row>
    <row r="16" spans="1:114" x14ac:dyDescent="0.25">
      <c r="A16" s="113">
        <v>1</v>
      </c>
      <c r="B16" s="110" t="s">
        <v>69</v>
      </c>
      <c r="C16" s="114" t="s">
        <v>35</v>
      </c>
      <c r="D16" s="114" t="s">
        <v>35</v>
      </c>
      <c r="E16" s="114" t="s">
        <v>35</v>
      </c>
      <c r="F16" s="114" t="s">
        <v>35</v>
      </c>
      <c r="G16" s="114" t="s">
        <v>35</v>
      </c>
      <c r="H16" s="114" t="s">
        <v>35</v>
      </c>
      <c r="I16" s="114" t="s">
        <v>35</v>
      </c>
      <c r="J16" s="114" t="s">
        <v>35</v>
      </c>
      <c r="K16" s="114" t="s">
        <v>35</v>
      </c>
      <c r="L16" s="114" t="s">
        <v>35</v>
      </c>
      <c r="M16" s="114" t="s">
        <v>35</v>
      </c>
      <c r="N16" s="114" t="s">
        <v>35</v>
      </c>
      <c r="O16" s="114" t="s">
        <v>35</v>
      </c>
      <c r="P16" s="114" t="s">
        <v>35</v>
      </c>
      <c r="Q16" s="114" t="s">
        <v>35</v>
      </c>
      <c r="R16" s="114" t="s">
        <v>35</v>
      </c>
      <c r="S16" s="114" t="s">
        <v>35</v>
      </c>
      <c r="T16" s="114" t="s">
        <v>35</v>
      </c>
      <c r="U16" s="114" t="s">
        <v>35</v>
      </c>
      <c r="V16" s="114" t="s">
        <v>35</v>
      </c>
      <c r="W16" s="114" t="s">
        <v>35</v>
      </c>
      <c r="X16" s="114" t="s">
        <v>35</v>
      </c>
      <c r="Y16" s="114" t="s">
        <v>35</v>
      </c>
      <c r="Z16" s="114" t="s">
        <v>35</v>
      </c>
      <c r="AA16" s="114" t="s">
        <v>35</v>
      </c>
      <c r="AB16" s="114" t="s">
        <v>35</v>
      </c>
      <c r="AC16" s="114" t="s">
        <v>35</v>
      </c>
      <c r="AD16" s="114" t="s">
        <v>35</v>
      </c>
      <c r="AE16" s="114" t="s">
        <v>35</v>
      </c>
      <c r="AF16" s="114" t="s">
        <v>35</v>
      </c>
      <c r="AG16" s="114" t="s">
        <v>35</v>
      </c>
      <c r="AH16" s="114" t="s">
        <v>35</v>
      </c>
      <c r="AI16" s="114" t="s">
        <v>35</v>
      </c>
      <c r="AJ16" s="114" t="s">
        <v>35</v>
      </c>
      <c r="AK16" s="114" t="s">
        <v>35</v>
      </c>
      <c r="AL16" s="114" t="s">
        <v>35</v>
      </c>
      <c r="AM16" s="114" t="s">
        <v>35</v>
      </c>
      <c r="AN16" s="114" t="s">
        <v>35</v>
      </c>
      <c r="AO16" s="114" t="s">
        <v>35</v>
      </c>
      <c r="AP16" s="114" t="s">
        <v>35</v>
      </c>
      <c r="AQ16" s="114" t="s">
        <v>35</v>
      </c>
      <c r="AR16" s="114" t="s">
        <v>35</v>
      </c>
      <c r="AS16" s="114" t="s">
        <v>35</v>
      </c>
      <c r="AT16" s="114" t="s">
        <v>35</v>
      </c>
      <c r="AU16" s="114" t="s">
        <v>35</v>
      </c>
      <c r="AV16" s="114" t="s">
        <v>35</v>
      </c>
      <c r="AW16" s="114" t="s">
        <v>35</v>
      </c>
      <c r="AX16" s="114" t="s">
        <v>35</v>
      </c>
      <c r="AY16" s="114" t="s">
        <v>35</v>
      </c>
      <c r="AZ16" s="114" t="s">
        <v>35</v>
      </c>
      <c r="BA16" s="114" t="s">
        <v>35</v>
      </c>
      <c r="BB16" s="114" t="s">
        <v>35</v>
      </c>
      <c r="BC16" s="114" t="s">
        <v>35</v>
      </c>
      <c r="BD16" s="114" t="s">
        <v>35</v>
      </c>
      <c r="BE16" s="114" t="s">
        <v>35</v>
      </c>
      <c r="BF16" s="114" t="s">
        <v>35</v>
      </c>
      <c r="BG16" s="114" t="s">
        <v>35</v>
      </c>
      <c r="BH16" s="114" t="s">
        <v>35</v>
      </c>
      <c r="BI16" s="114" t="s">
        <v>35</v>
      </c>
      <c r="BJ16" s="114" t="s">
        <v>35</v>
      </c>
      <c r="BK16" s="114" t="s">
        <v>35</v>
      </c>
      <c r="BL16" s="114" t="s">
        <v>35</v>
      </c>
      <c r="BM16" s="114" t="s">
        <v>35</v>
      </c>
      <c r="BN16" s="114" t="s">
        <v>35</v>
      </c>
      <c r="BO16" s="114" t="s">
        <v>35</v>
      </c>
      <c r="BP16" s="114" t="s">
        <v>35</v>
      </c>
      <c r="BQ16" s="114" t="s">
        <v>35</v>
      </c>
      <c r="BR16" s="114" t="s">
        <v>35</v>
      </c>
      <c r="BS16" s="114" t="s">
        <v>35</v>
      </c>
      <c r="BT16" s="114" t="s">
        <v>35</v>
      </c>
      <c r="BU16" s="114" t="s">
        <v>35</v>
      </c>
      <c r="BV16" s="114" t="s">
        <v>35</v>
      </c>
      <c r="BW16" s="114" t="s">
        <v>35</v>
      </c>
      <c r="BX16" s="114" t="s">
        <v>35</v>
      </c>
      <c r="BY16" s="114" t="s">
        <v>35</v>
      </c>
      <c r="BZ16" s="114" t="s">
        <v>35</v>
      </c>
      <c r="CA16" s="114" t="s">
        <v>35</v>
      </c>
      <c r="CB16" s="114" t="s">
        <v>35</v>
      </c>
      <c r="CC16" s="114" t="s">
        <v>35</v>
      </c>
      <c r="CD16" s="114" t="s">
        <v>35</v>
      </c>
      <c r="CE16" s="114" t="s">
        <v>35</v>
      </c>
      <c r="CF16" s="114" t="s">
        <v>35</v>
      </c>
      <c r="CG16" s="114" t="s">
        <v>35</v>
      </c>
      <c r="CH16" s="114" t="s">
        <v>35</v>
      </c>
      <c r="CI16" s="114" t="s">
        <v>35</v>
      </c>
      <c r="CJ16" s="114" t="s">
        <v>35</v>
      </c>
      <c r="CK16" s="114" t="s">
        <v>35</v>
      </c>
      <c r="CL16" s="114" t="s">
        <v>35</v>
      </c>
      <c r="CM16" s="114" t="s">
        <v>35</v>
      </c>
      <c r="CN16" s="114" t="s">
        <v>35</v>
      </c>
      <c r="CO16" s="114" t="s">
        <v>35</v>
      </c>
      <c r="CP16" s="114" t="s">
        <v>35</v>
      </c>
      <c r="CQ16" s="114" t="s">
        <v>35</v>
      </c>
      <c r="CR16" s="114" t="s">
        <v>35</v>
      </c>
      <c r="CS16" s="114" t="s">
        <v>35</v>
      </c>
      <c r="CT16" s="114" t="s">
        <v>35</v>
      </c>
      <c r="CU16" s="114" t="s">
        <v>35</v>
      </c>
      <c r="CV16" s="114" t="s">
        <v>35</v>
      </c>
      <c r="CW16" s="114" t="s">
        <v>35</v>
      </c>
      <c r="CX16" s="116" t="s">
        <v>35</v>
      </c>
      <c r="CY16" s="114" t="s">
        <v>35</v>
      </c>
      <c r="CZ16" s="114" t="s">
        <v>35</v>
      </c>
      <c r="DA16" s="114" t="s">
        <v>35</v>
      </c>
      <c r="DB16" s="114" t="s">
        <v>35</v>
      </c>
      <c r="DC16" s="114" t="s">
        <v>35</v>
      </c>
      <c r="DD16" s="114" t="s">
        <v>35</v>
      </c>
      <c r="DE16" s="114" t="s">
        <v>35</v>
      </c>
      <c r="DF16" s="114" t="s">
        <v>35</v>
      </c>
      <c r="DG16" s="114" t="s">
        <v>35</v>
      </c>
      <c r="DH16" s="114" t="s">
        <v>35</v>
      </c>
      <c r="DI16" s="114" t="s">
        <v>35</v>
      </c>
      <c r="DJ16" s="114" t="s">
        <v>35</v>
      </c>
    </row>
    <row r="17" spans="1:114" x14ac:dyDescent="0.25">
      <c r="A17" s="113">
        <v>1</v>
      </c>
      <c r="B17" s="110" t="s">
        <v>70</v>
      </c>
      <c r="C17" s="114" t="s">
        <v>35</v>
      </c>
      <c r="D17" s="114" t="s">
        <v>35</v>
      </c>
      <c r="E17" s="114" t="s">
        <v>35</v>
      </c>
      <c r="F17" s="114" t="s">
        <v>35</v>
      </c>
      <c r="G17" s="114" t="s">
        <v>35</v>
      </c>
      <c r="H17" s="114" t="s">
        <v>35</v>
      </c>
      <c r="I17" s="114" t="s">
        <v>35</v>
      </c>
      <c r="J17" s="114" t="s">
        <v>35</v>
      </c>
      <c r="K17" s="114" t="s">
        <v>35</v>
      </c>
      <c r="L17" s="114" t="s">
        <v>35</v>
      </c>
      <c r="M17" s="114" t="s">
        <v>35</v>
      </c>
      <c r="N17" s="114" t="s">
        <v>35</v>
      </c>
      <c r="O17" s="114" t="s">
        <v>35</v>
      </c>
      <c r="P17" s="114" t="s">
        <v>35</v>
      </c>
      <c r="Q17" s="116" t="s">
        <v>36</v>
      </c>
      <c r="R17" s="114" t="s">
        <v>36</v>
      </c>
      <c r="S17" s="114" t="s">
        <v>36</v>
      </c>
      <c r="T17" s="114" t="s">
        <v>36</v>
      </c>
      <c r="U17" s="114" t="s">
        <v>36</v>
      </c>
      <c r="V17" s="114" t="s">
        <v>36</v>
      </c>
      <c r="W17" s="114" t="s">
        <v>36</v>
      </c>
      <c r="X17" s="114" t="s">
        <v>36</v>
      </c>
      <c r="Y17" s="114" t="s">
        <v>36</v>
      </c>
      <c r="Z17" s="114" t="s">
        <v>36</v>
      </c>
      <c r="AA17" s="114" t="s">
        <v>36</v>
      </c>
      <c r="AB17" s="114" t="s">
        <v>36</v>
      </c>
      <c r="AC17" s="114" t="s">
        <v>36</v>
      </c>
      <c r="AD17" s="114" t="s">
        <v>36</v>
      </c>
      <c r="AE17" s="114" t="s">
        <v>36</v>
      </c>
      <c r="AF17" s="114" t="s">
        <v>36</v>
      </c>
      <c r="AG17" s="114" t="s">
        <v>36</v>
      </c>
      <c r="AH17" s="114" t="s">
        <v>36</v>
      </c>
      <c r="AI17" s="114" t="s">
        <v>36</v>
      </c>
      <c r="AJ17" s="114" t="s">
        <v>36</v>
      </c>
      <c r="AK17" s="114" t="s">
        <v>36</v>
      </c>
      <c r="AL17" s="114" t="s">
        <v>36</v>
      </c>
      <c r="AM17" s="114" t="s">
        <v>36</v>
      </c>
      <c r="AN17" s="114" t="s">
        <v>36</v>
      </c>
      <c r="AO17" s="114" t="s">
        <v>36</v>
      </c>
      <c r="AP17" s="114" t="s">
        <v>36</v>
      </c>
      <c r="AQ17" s="114" t="s">
        <v>36</v>
      </c>
      <c r="AR17" s="114" t="s">
        <v>36</v>
      </c>
      <c r="AS17" s="114" t="s">
        <v>36</v>
      </c>
      <c r="AT17" s="114" t="s">
        <v>36</v>
      </c>
      <c r="AU17" s="114" t="s">
        <v>36</v>
      </c>
      <c r="AV17" s="114" t="s">
        <v>36</v>
      </c>
      <c r="AW17" s="114" t="s">
        <v>36</v>
      </c>
      <c r="AX17" s="114" t="s">
        <v>36</v>
      </c>
      <c r="AY17" s="114" t="s">
        <v>36</v>
      </c>
      <c r="AZ17" s="114" t="s">
        <v>36</v>
      </c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/>
      <c r="DC17" s="115"/>
      <c r="DD17" s="115"/>
      <c r="DE17" s="115"/>
      <c r="DF17" s="115"/>
      <c r="DG17" s="115"/>
      <c r="DH17" s="115"/>
      <c r="DI17" s="115"/>
      <c r="DJ17" s="115"/>
    </row>
    <row r="18" spans="1:114" x14ac:dyDescent="0.25">
      <c r="A18" s="113">
        <v>1</v>
      </c>
      <c r="B18" s="110" t="s">
        <v>71</v>
      </c>
      <c r="C18" s="114" t="s">
        <v>36</v>
      </c>
      <c r="D18" s="114" t="s">
        <v>36</v>
      </c>
      <c r="E18" s="114" t="s">
        <v>36</v>
      </c>
      <c r="F18" s="114" t="s">
        <v>36</v>
      </c>
      <c r="G18" s="114" t="s">
        <v>36</v>
      </c>
      <c r="H18" s="114" t="s">
        <v>36</v>
      </c>
      <c r="I18" s="114" t="s">
        <v>36</v>
      </c>
      <c r="J18" s="114" t="s">
        <v>36</v>
      </c>
      <c r="K18" s="114" t="s">
        <v>36</v>
      </c>
      <c r="L18" s="114" t="s">
        <v>36</v>
      </c>
      <c r="M18" s="114" t="s">
        <v>36</v>
      </c>
      <c r="N18" s="114" t="s">
        <v>36</v>
      </c>
      <c r="O18" s="114" t="s">
        <v>36</v>
      </c>
      <c r="P18" s="114" t="s">
        <v>36</v>
      </c>
      <c r="Q18" s="114" t="s">
        <v>36</v>
      </c>
      <c r="R18" s="114" t="s">
        <v>36</v>
      </c>
      <c r="S18" s="114" t="s">
        <v>36</v>
      </c>
      <c r="T18" s="114" t="s">
        <v>36</v>
      </c>
      <c r="U18" s="114" t="s">
        <v>36</v>
      </c>
      <c r="V18" s="114" t="s">
        <v>36</v>
      </c>
      <c r="W18" s="114" t="s">
        <v>36</v>
      </c>
      <c r="X18" s="114" t="s">
        <v>36</v>
      </c>
      <c r="Y18" s="114" t="s">
        <v>36</v>
      </c>
      <c r="Z18" s="114" t="s">
        <v>36</v>
      </c>
      <c r="AA18" s="114" t="s">
        <v>36</v>
      </c>
      <c r="AB18" s="114" t="s">
        <v>36</v>
      </c>
      <c r="AC18" s="114" t="s">
        <v>36</v>
      </c>
      <c r="AD18" s="114" t="s">
        <v>36</v>
      </c>
      <c r="AE18" s="114" t="s">
        <v>36</v>
      </c>
      <c r="AF18" s="114" t="s">
        <v>36</v>
      </c>
      <c r="AG18" s="114" t="s">
        <v>36</v>
      </c>
      <c r="AH18" s="114" t="s">
        <v>36</v>
      </c>
      <c r="AI18" s="114" t="s">
        <v>36</v>
      </c>
      <c r="AJ18" s="114" t="s">
        <v>36</v>
      </c>
      <c r="AK18" s="114" t="s">
        <v>36</v>
      </c>
      <c r="AL18" s="114" t="s">
        <v>36</v>
      </c>
      <c r="AM18" s="114" t="s">
        <v>36</v>
      </c>
      <c r="AN18" s="114" t="s">
        <v>36</v>
      </c>
      <c r="AO18" s="114" t="s">
        <v>36</v>
      </c>
      <c r="AP18" s="114" t="s">
        <v>36</v>
      </c>
      <c r="AQ18" s="114" t="s">
        <v>36</v>
      </c>
      <c r="AR18" s="114" t="s">
        <v>36</v>
      </c>
      <c r="AS18" s="114" t="s">
        <v>36</v>
      </c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/>
      <c r="DC18" s="115"/>
      <c r="DD18" s="115"/>
      <c r="DE18" s="115"/>
      <c r="DF18" s="115"/>
      <c r="DG18" s="115"/>
      <c r="DH18" s="115"/>
      <c r="DI18" s="115"/>
      <c r="DJ18" s="115"/>
    </row>
    <row r="19" spans="1:114" x14ac:dyDescent="0.25">
      <c r="A19" s="113">
        <v>1</v>
      </c>
      <c r="B19" s="110" t="s">
        <v>72</v>
      </c>
      <c r="C19" s="114" t="s">
        <v>35</v>
      </c>
      <c r="D19" s="114" t="s">
        <v>35</v>
      </c>
      <c r="E19" s="114" t="s">
        <v>35</v>
      </c>
      <c r="F19" s="114" t="s">
        <v>35</v>
      </c>
      <c r="G19" s="114" t="s">
        <v>35</v>
      </c>
      <c r="H19" s="114" t="s">
        <v>35</v>
      </c>
      <c r="I19" s="114" t="s">
        <v>35</v>
      </c>
      <c r="J19" s="114" t="s">
        <v>35</v>
      </c>
      <c r="K19" s="114" t="s">
        <v>35</v>
      </c>
      <c r="L19" s="114" t="s">
        <v>35</v>
      </c>
      <c r="M19" s="114" t="s">
        <v>35</v>
      </c>
      <c r="N19" s="114" t="s">
        <v>35</v>
      </c>
      <c r="O19" s="114" t="s">
        <v>35</v>
      </c>
      <c r="P19" s="114" t="s">
        <v>35</v>
      </c>
      <c r="Q19" s="114" t="s">
        <v>35</v>
      </c>
      <c r="R19" s="114" t="s">
        <v>35</v>
      </c>
      <c r="S19" s="114" t="s">
        <v>35</v>
      </c>
      <c r="T19" s="114" t="s">
        <v>35</v>
      </c>
      <c r="U19" s="114" t="s">
        <v>35</v>
      </c>
      <c r="V19" s="114" t="s">
        <v>35</v>
      </c>
      <c r="W19" s="114" t="s">
        <v>35</v>
      </c>
      <c r="X19" s="114" t="s">
        <v>35</v>
      </c>
      <c r="Y19" s="114" t="s">
        <v>35</v>
      </c>
      <c r="Z19" s="114" t="s">
        <v>35</v>
      </c>
      <c r="AA19" s="114" t="s">
        <v>35</v>
      </c>
      <c r="AB19" s="114" t="s">
        <v>35</v>
      </c>
      <c r="AC19" s="114" t="s">
        <v>35</v>
      </c>
      <c r="AD19" s="114" t="s">
        <v>35</v>
      </c>
      <c r="AE19" s="114" t="s">
        <v>35</v>
      </c>
      <c r="AF19" s="116" t="s">
        <v>35</v>
      </c>
      <c r="AG19" s="114" t="s">
        <v>35</v>
      </c>
      <c r="AH19" s="114" t="s">
        <v>35</v>
      </c>
      <c r="AI19" s="114" t="s">
        <v>35</v>
      </c>
      <c r="AJ19" s="114" t="s">
        <v>35</v>
      </c>
      <c r="AK19" s="114" t="s">
        <v>35</v>
      </c>
      <c r="AL19" s="114" t="s">
        <v>35</v>
      </c>
      <c r="AM19" s="114" t="s">
        <v>35</v>
      </c>
      <c r="AN19" s="114" t="s">
        <v>35</v>
      </c>
      <c r="AO19" s="114" t="s">
        <v>35</v>
      </c>
      <c r="AP19" s="114" t="s">
        <v>35</v>
      </c>
      <c r="AQ19" s="114" t="s">
        <v>35</v>
      </c>
      <c r="AR19" s="114" t="s">
        <v>35</v>
      </c>
      <c r="AS19" s="114" t="s">
        <v>35</v>
      </c>
      <c r="AT19" s="114" t="s">
        <v>35</v>
      </c>
      <c r="AU19" s="114" t="s">
        <v>35</v>
      </c>
      <c r="AV19" s="114" t="s">
        <v>35</v>
      </c>
      <c r="AW19" s="114" t="s">
        <v>35</v>
      </c>
      <c r="AX19" s="114" t="s">
        <v>35</v>
      </c>
      <c r="AY19" s="114" t="s">
        <v>35</v>
      </c>
      <c r="AZ19" s="114" t="s">
        <v>35</v>
      </c>
      <c r="BA19" s="114" t="s">
        <v>35</v>
      </c>
      <c r="BB19" s="114" t="s">
        <v>35</v>
      </c>
      <c r="BC19" s="114" t="s">
        <v>35</v>
      </c>
      <c r="BD19" s="114" t="s">
        <v>35</v>
      </c>
      <c r="BE19" s="114" t="s">
        <v>35</v>
      </c>
      <c r="BF19" s="114" t="s">
        <v>35</v>
      </c>
      <c r="BG19" s="114" t="s">
        <v>35</v>
      </c>
      <c r="BH19" s="114" t="s">
        <v>35</v>
      </c>
      <c r="BI19" s="114" t="s">
        <v>35</v>
      </c>
      <c r="BJ19" s="114" t="s">
        <v>35</v>
      </c>
      <c r="BK19" s="114" t="s">
        <v>35</v>
      </c>
      <c r="BL19" s="114" t="s">
        <v>35</v>
      </c>
      <c r="BM19" s="114" t="s">
        <v>35</v>
      </c>
      <c r="BN19" s="114" t="s">
        <v>35</v>
      </c>
      <c r="BO19" s="114" t="s">
        <v>35</v>
      </c>
      <c r="BP19" s="114" t="s">
        <v>35</v>
      </c>
      <c r="BQ19" s="114" t="s">
        <v>35</v>
      </c>
      <c r="BR19" s="114" t="s">
        <v>35</v>
      </c>
      <c r="BS19" s="114" t="s">
        <v>35</v>
      </c>
      <c r="BT19" s="114" t="s">
        <v>35</v>
      </c>
      <c r="BU19" s="114" t="s">
        <v>35</v>
      </c>
      <c r="BV19" s="114" t="s">
        <v>35</v>
      </c>
      <c r="BW19" s="114" t="s">
        <v>35</v>
      </c>
      <c r="BX19" s="114" t="s">
        <v>35</v>
      </c>
      <c r="BY19" s="114" t="s">
        <v>35</v>
      </c>
      <c r="BZ19" s="114" t="s">
        <v>35</v>
      </c>
      <c r="CA19" s="114" t="s">
        <v>35</v>
      </c>
      <c r="CB19" s="114" t="s">
        <v>35</v>
      </c>
      <c r="CC19" s="114" t="s">
        <v>35</v>
      </c>
      <c r="CD19" s="114" t="s">
        <v>35</v>
      </c>
      <c r="CE19" s="114" t="s">
        <v>35</v>
      </c>
      <c r="CF19" s="114" t="s">
        <v>35</v>
      </c>
      <c r="CG19" s="114" t="s">
        <v>35</v>
      </c>
      <c r="CH19" s="114" t="s">
        <v>35</v>
      </c>
      <c r="CI19" s="114" t="s">
        <v>35</v>
      </c>
      <c r="CJ19" s="114" t="s">
        <v>35</v>
      </c>
      <c r="CK19" s="114" t="s">
        <v>35</v>
      </c>
      <c r="CL19" s="114" t="s">
        <v>35</v>
      </c>
      <c r="CM19" s="114" t="s">
        <v>35</v>
      </c>
      <c r="CN19" s="114" t="s">
        <v>35</v>
      </c>
      <c r="CO19" s="114" t="s">
        <v>35</v>
      </c>
      <c r="CP19" s="114" t="s">
        <v>35</v>
      </c>
      <c r="CQ19" s="114" t="s">
        <v>35</v>
      </c>
      <c r="CR19" s="114" t="s">
        <v>35</v>
      </c>
      <c r="CS19" s="114" t="s">
        <v>35</v>
      </c>
      <c r="CT19" s="114" t="s">
        <v>35</v>
      </c>
      <c r="CU19" s="114" t="s">
        <v>35</v>
      </c>
      <c r="CV19" s="114" t="s">
        <v>35</v>
      </c>
      <c r="CW19" s="114" t="s">
        <v>35</v>
      </c>
      <c r="CX19" s="114" t="s">
        <v>35</v>
      </c>
      <c r="CY19" s="114" t="s">
        <v>35</v>
      </c>
      <c r="CZ19" s="114" t="s">
        <v>35</v>
      </c>
      <c r="DA19" s="114" t="s">
        <v>35</v>
      </c>
      <c r="DB19" s="114" t="s">
        <v>35</v>
      </c>
      <c r="DC19" s="114" t="s">
        <v>35</v>
      </c>
      <c r="DD19" s="114" t="s">
        <v>35</v>
      </c>
      <c r="DE19" s="114" t="s">
        <v>35</v>
      </c>
      <c r="DF19" s="114" t="s">
        <v>35</v>
      </c>
      <c r="DG19" s="114" t="s">
        <v>35</v>
      </c>
      <c r="DH19" s="114" t="s">
        <v>35</v>
      </c>
      <c r="DI19" s="114" t="s">
        <v>35</v>
      </c>
      <c r="DJ19" s="114" t="s">
        <v>35</v>
      </c>
    </row>
    <row r="20" spans="1:114" x14ac:dyDescent="0.25">
      <c r="A20" s="113">
        <v>1</v>
      </c>
      <c r="B20" s="110" t="s">
        <v>73</v>
      </c>
      <c r="C20" s="114" t="s">
        <v>35</v>
      </c>
      <c r="D20" s="114" t="s">
        <v>35</v>
      </c>
      <c r="E20" s="114" t="s">
        <v>35</v>
      </c>
      <c r="F20" s="114" t="s">
        <v>35</v>
      </c>
      <c r="G20" s="114" t="s">
        <v>35</v>
      </c>
      <c r="H20" s="114" t="s">
        <v>35</v>
      </c>
      <c r="I20" s="114" t="s">
        <v>35</v>
      </c>
      <c r="J20" s="114" t="s">
        <v>35</v>
      </c>
      <c r="K20" s="114" t="s">
        <v>35</v>
      </c>
      <c r="L20" s="114" t="s">
        <v>35</v>
      </c>
      <c r="M20" s="114" t="s">
        <v>35</v>
      </c>
      <c r="N20" s="117"/>
      <c r="O20" s="117"/>
      <c r="P20" s="117"/>
      <c r="Q20" s="117"/>
      <c r="R20" s="119" t="s">
        <v>35</v>
      </c>
      <c r="S20" s="118" t="s">
        <v>35</v>
      </c>
      <c r="T20" s="118" t="s">
        <v>35</v>
      </c>
      <c r="U20" s="118" t="s">
        <v>35</v>
      </c>
      <c r="V20" s="118" t="s">
        <v>35</v>
      </c>
      <c r="W20" s="118" t="s">
        <v>35</v>
      </c>
      <c r="X20" s="118" t="s">
        <v>35</v>
      </c>
      <c r="Y20" s="118" t="s">
        <v>35</v>
      </c>
      <c r="Z20" s="118" t="s">
        <v>35</v>
      </c>
      <c r="AA20" s="118" t="s">
        <v>35</v>
      </c>
      <c r="AB20" s="118" t="s">
        <v>35</v>
      </c>
      <c r="AC20" s="118" t="s">
        <v>35</v>
      </c>
      <c r="AD20" s="118" t="s">
        <v>35</v>
      </c>
      <c r="AE20" s="118" t="s">
        <v>35</v>
      </c>
      <c r="AF20" s="114" t="s">
        <v>35</v>
      </c>
      <c r="AG20" s="114" t="s">
        <v>35</v>
      </c>
      <c r="AH20" s="114" t="s">
        <v>35</v>
      </c>
      <c r="AI20" s="114" t="s">
        <v>35</v>
      </c>
      <c r="AJ20" s="114" t="s">
        <v>35</v>
      </c>
      <c r="AK20" s="114" t="s">
        <v>35</v>
      </c>
      <c r="AL20" s="114" t="s">
        <v>35</v>
      </c>
      <c r="AM20" s="114" t="s">
        <v>35</v>
      </c>
      <c r="AN20" s="114" t="s">
        <v>35</v>
      </c>
      <c r="AO20" s="114" t="s">
        <v>35</v>
      </c>
      <c r="AP20" s="114" t="s">
        <v>35</v>
      </c>
      <c r="AQ20" s="114" t="s">
        <v>35</v>
      </c>
      <c r="AR20" s="114" t="s">
        <v>35</v>
      </c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</row>
    <row r="21" spans="1:114" x14ac:dyDescent="0.25">
      <c r="A21" s="113">
        <v>1</v>
      </c>
      <c r="B21" s="110" t="s">
        <v>74</v>
      </c>
      <c r="C21" s="114" t="s">
        <v>35</v>
      </c>
      <c r="D21" s="114" t="s">
        <v>35</v>
      </c>
      <c r="E21" s="114" t="s">
        <v>35</v>
      </c>
      <c r="F21" s="114" t="s">
        <v>35</v>
      </c>
      <c r="G21" s="114" t="s">
        <v>35</v>
      </c>
      <c r="H21" s="114" t="s">
        <v>35</v>
      </c>
      <c r="I21" s="114" t="s">
        <v>35</v>
      </c>
      <c r="J21" s="114" t="s">
        <v>35</v>
      </c>
      <c r="K21" s="114" t="s">
        <v>35</v>
      </c>
      <c r="L21" s="114" t="s">
        <v>35</v>
      </c>
      <c r="M21" s="114" t="s">
        <v>35</v>
      </c>
      <c r="N21" s="114" t="s">
        <v>35</v>
      </c>
      <c r="O21" s="114" t="s">
        <v>35</v>
      </c>
      <c r="P21" s="114" t="s">
        <v>35</v>
      </c>
      <c r="Q21" s="114" t="s">
        <v>35</v>
      </c>
      <c r="R21" s="114" t="s">
        <v>35</v>
      </c>
      <c r="S21" s="114" t="s">
        <v>35</v>
      </c>
      <c r="T21" s="114" t="s">
        <v>35</v>
      </c>
      <c r="U21" s="114" t="s">
        <v>35</v>
      </c>
      <c r="V21" s="114" t="s">
        <v>35</v>
      </c>
      <c r="W21" s="114" t="s">
        <v>35</v>
      </c>
      <c r="X21" s="116" t="s">
        <v>35</v>
      </c>
      <c r="Y21" s="114" t="s">
        <v>35</v>
      </c>
      <c r="Z21" s="114" t="s">
        <v>35</v>
      </c>
      <c r="AA21" s="114" t="s">
        <v>35</v>
      </c>
      <c r="AB21" s="114" t="s">
        <v>35</v>
      </c>
      <c r="AC21" s="114" t="s">
        <v>35</v>
      </c>
      <c r="AD21" s="114" t="s">
        <v>35</v>
      </c>
      <c r="AE21" s="114" t="s">
        <v>35</v>
      </c>
      <c r="AF21" s="114" t="s">
        <v>35</v>
      </c>
      <c r="AG21" s="114" t="s">
        <v>35</v>
      </c>
      <c r="AH21" s="114" t="s">
        <v>35</v>
      </c>
      <c r="AI21" s="114" t="s">
        <v>35</v>
      </c>
      <c r="AJ21" s="114" t="s">
        <v>35</v>
      </c>
      <c r="AK21" s="114" t="s">
        <v>35</v>
      </c>
      <c r="AL21" s="114" t="s">
        <v>35</v>
      </c>
      <c r="AM21" s="114" t="s">
        <v>35</v>
      </c>
      <c r="AN21" s="114" t="s">
        <v>35</v>
      </c>
      <c r="AO21" s="114" t="s">
        <v>35</v>
      </c>
      <c r="AP21" s="114" t="s">
        <v>35</v>
      </c>
      <c r="AQ21" s="114" t="s">
        <v>35</v>
      </c>
      <c r="AR21" s="114" t="s">
        <v>35</v>
      </c>
      <c r="AS21" s="114" t="s">
        <v>35</v>
      </c>
      <c r="AT21" s="114" t="s">
        <v>35</v>
      </c>
      <c r="AU21" s="114" t="s">
        <v>35</v>
      </c>
      <c r="AV21" s="114" t="s">
        <v>35</v>
      </c>
      <c r="AW21" s="114" t="s">
        <v>35</v>
      </c>
      <c r="AX21" s="114" t="s">
        <v>35</v>
      </c>
      <c r="AY21" s="114" t="s">
        <v>35</v>
      </c>
      <c r="AZ21" s="114" t="s">
        <v>35</v>
      </c>
      <c r="BA21" s="114" t="s">
        <v>35</v>
      </c>
      <c r="BB21" s="114" t="s">
        <v>35</v>
      </c>
      <c r="BC21" s="114" t="s">
        <v>35</v>
      </c>
      <c r="BD21" s="114" t="s">
        <v>35</v>
      </c>
      <c r="BE21" s="114" t="s">
        <v>35</v>
      </c>
      <c r="BF21" s="114" t="s">
        <v>35</v>
      </c>
      <c r="BG21" s="114" t="s">
        <v>35</v>
      </c>
      <c r="BH21" s="114" t="s">
        <v>35</v>
      </c>
      <c r="BI21" s="114" t="s">
        <v>35</v>
      </c>
      <c r="BJ21" s="114" t="s">
        <v>35</v>
      </c>
      <c r="BK21" s="114" t="s">
        <v>35</v>
      </c>
      <c r="BL21" s="114" t="s">
        <v>35</v>
      </c>
      <c r="BM21" s="114" t="s">
        <v>35</v>
      </c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/>
      <c r="DC21" s="115"/>
      <c r="DD21" s="115"/>
      <c r="DE21" s="115"/>
      <c r="DF21" s="115"/>
      <c r="DG21" s="115"/>
      <c r="DH21" s="115"/>
      <c r="DI21" s="115"/>
      <c r="DJ21" s="115"/>
    </row>
    <row r="22" spans="1:114" x14ac:dyDescent="0.25">
      <c r="A22" s="113">
        <v>1</v>
      </c>
      <c r="B22" s="110" t="s">
        <v>75</v>
      </c>
      <c r="C22" s="114" t="s">
        <v>35</v>
      </c>
      <c r="D22" s="114" t="s">
        <v>35</v>
      </c>
      <c r="E22" s="114" t="s">
        <v>35</v>
      </c>
      <c r="F22" s="114" t="s">
        <v>35</v>
      </c>
      <c r="G22" s="114" t="s">
        <v>35</v>
      </c>
      <c r="H22" s="114" t="s">
        <v>35</v>
      </c>
      <c r="I22" s="114" t="s">
        <v>35</v>
      </c>
      <c r="J22" s="114" t="s">
        <v>35</v>
      </c>
      <c r="K22" s="114" t="s">
        <v>35</v>
      </c>
      <c r="L22" s="114" t="s">
        <v>35</v>
      </c>
      <c r="M22" s="114" t="s">
        <v>35</v>
      </c>
      <c r="N22" s="114" t="s">
        <v>35</v>
      </c>
      <c r="O22" s="114" t="s">
        <v>35</v>
      </c>
      <c r="P22" s="114" t="s">
        <v>35</v>
      </c>
      <c r="Q22" s="114" t="s">
        <v>35</v>
      </c>
      <c r="R22" s="116" t="s">
        <v>35</v>
      </c>
      <c r="S22" s="114" t="s">
        <v>35</v>
      </c>
      <c r="T22" s="114" t="s">
        <v>35</v>
      </c>
      <c r="U22" s="114" t="s">
        <v>35</v>
      </c>
      <c r="V22" s="114" t="s">
        <v>35</v>
      </c>
      <c r="W22" s="114" t="s">
        <v>35</v>
      </c>
      <c r="X22" s="114" t="s">
        <v>35</v>
      </c>
      <c r="Y22" s="114" t="s">
        <v>35</v>
      </c>
      <c r="Z22" s="114" t="s">
        <v>35</v>
      </c>
      <c r="AA22" s="114" t="s">
        <v>35</v>
      </c>
      <c r="AB22" s="114" t="s">
        <v>35</v>
      </c>
      <c r="AC22" s="114" t="s">
        <v>35</v>
      </c>
      <c r="AD22" s="114" t="s">
        <v>35</v>
      </c>
      <c r="AE22" s="114" t="s">
        <v>35</v>
      </c>
      <c r="AF22" s="114" t="s">
        <v>35</v>
      </c>
      <c r="AG22" s="114" t="s">
        <v>35</v>
      </c>
      <c r="AH22" s="114" t="s">
        <v>35</v>
      </c>
      <c r="AI22" s="114" t="s">
        <v>35</v>
      </c>
      <c r="AJ22" s="114" t="s">
        <v>35</v>
      </c>
      <c r="AK22" s="114" t="s">
        <v>35</v>
      </c>
      <c r="AL22" s="114" t="s">
        <v>35</v>
      </c>
      <c r="AM22" s="114" t="s">
        <v>35</v>
      </c>
      <c r="AN22" s="114" t="s">
        <v>35</v>
      </c>
      <c r="AO22" s="114" t="s">
        <v>35</v>
      </c>
      <c r="AP22" s="114" t="s">
        <v>35</v>
      </c>
      <c r="AQ22" s="114" t="s">
        <v>35</v>
      </c>
      <c r="AR22" s="114" t="s">
        <v>35</v>
      </c>
      <c r="AS22" s="114" t="s">
        <v>35</v>
      </c>
      <c r="AT22" s="114" t="s">
        <v>35</v>
      </c>
      <c r="AU22" s="114" t="s">
        <v>35</v>
      </c>
      <c r="AV22" s="114" t="s">
        <v>35</v>
      </c>
      <c r="AW22" s="114" t="s">
        <v>35</v>
      </c>
      <c r="AX22" s="114" t="s">
        <v>35</v>
      </c>
      <c r="AY22" s="114" t="s">
        <v>35</v>
      </c>
      <c r="AZ22" s="114" t="s">
        <v>35</v>
      </c>
      <c r="BA22" s="116" t="s">
        <v>76</v>
      </c>
      <c r="BB22" s="114" t="s">
        <v>76</v>
      </c>
      <c r="BC22" s="114" t="s">
        <v>76</v>
      </c>
      <c r="BD22" s="114" t="s">
        <v>76</v>
      </c>
      <c r="BE22" s="114" t="s">
        <v>76</v>
      </c>
      <c r="BF22" s="114" t="s">
        <v>76</v>
      </c>
      <c r="BG22" s="114" t="s">
        <v>76</v>
      </c>
      <c r="BH22" s="114" t="s">
        <v>76</v>
      </c>
      <c r="BI22" s="114" t="s">
        <v>76</v>
      </c>
      <c r="BJ22" s="114" t="s">
        <v>76</v>
      </c>
      <c r="BK22" s="114" t="s">
        <v>76</v>
      </c>
      <c r="BL22" s="114" t="s">
        <v>76</v>
      </c>
      <c r="BM22" s="114" t="s">
        <v>76</v>
      </c>
      <c r="BN22" s="114" t="s">
        <v>76</v>
      </c>
      <c r="BO22" s="114" t="s">
        <v>76</v>
      </c>
      <c r="BP22" s="114" t="s">
        <v>76</v>
      </c>
      <c r="BQ22" s="114" t="s">
        <v>76</v>
      </c>
      <c r="BR22" s="114" t="s">
        <v>76</v>
      </c>
      <c r="BS22" s="114" t="s">
        <v>76</v>
      </c>
      <c r="BT22" s="114" t="s">
        <v>76</v>
      </c>
      <c r="BU22" s="114" t="s">
        <v>76</v>
      </c>
      <c r="BV22" s="114" t="s">
        <v>76</v>
      </c>
      <c r="BW22" s="114" t="s">
        <v>76</v>
      </c>
      <c r="BX22" s="114" t="s">
        <v>76</v>
      </c>
      <c r="BY22" s="114" t="s">
        <v>76</v>
      </c>
      <c r="BZ22" s="114" t="s">
        <v>76</v>
      </c>
      <c r="CA22" s="114" t="s">
        <v>76</v>
      </c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/>
      <c r="DC22" s="115"/>
      <c r="DD22" s="115"/>
      <c r="DE22" s="115"/>
      <c r="DF22" s="115"/>
      <c r="DG22" s="115"/>
      <c r="DH22" s="115"/>
      <c r="DI22" s="115"/>
      <c r="DJ22" s="115"/>
    </row>
    <row r="23" spans="1:114" x14ac:dyDescent="0.25">
      <c r="A23" s="113">
        <v>1</v>
      </c>
      <c r="B23" s="110" t="s">
        <v>77</v>
      </c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/>
      <c r="DC23" s="115"/>
      <c r="DD23" s="115"/>
      <c r="DE23" s="115"/>
      <c r="DF23" s="115"/>
      <c r="DG23" s="115"/>
      <c r="DH23" s="115"/>
      <c r="DI23" s="115"/>
      <c r="DJ23" s="115"/>
    </row>
    <row r="24" spans="1:114" x14ac:dyDescent="0.25">
      <c r="A24" s="113">
        <v>1</v>
      </c>
      <c r="B24" s="110" t="s">
        <v>78</v>
      </c>
      <c r="C24" s="114" t="s">
        <v>35</v>
      </c>
      <c r="D24" s="114" t="s">
        <v>35</v>
      </c>
      <c r="E24" s="114" t="s">
        <v>35</v>
      </c>
      <c r="F24" s="114" t="s">
        <v>35</v>
      </c>
      <c r="G24" s="114" t="s">
        <v>35</v>
      </c>
      <c r="H24" s="114" t="s">
        <v>35</v>
      </c>
      <c r="I24" s="114" t="s">
        <v>35</v>
      </c>
      <c r="J24" s="114" t="s">
        <v>35</v>
      </c>
      <c r="K24" s="114" t="s">
        <v>35</v>
      </c>
      <c r="L24" s="114" t="s">
        <v>35</v>
      </c>
      <c r="M24" s="114" t="s">
        <v>35</v>
      </c>
      <c r="N24" s="114" t="s">
        <v>35</v>
      </c>
      <c r="O24" s="114" t="s">
        <v>35</v>
      </c>
      <c r="P24" s="114" t="s">
        <v>35</v>
      </c>
      <c r="Q24" s="114" t="s">
        <v>35</v>
      </c>
      <c r="R24" s="114" t="s">
        <v>35</v>
      </c>
      <c r="S24" s="114" t="s">
        <v>35</v>
      </c>
      <c r="T24" s="114" t="s">
        <v>35</v>
      </c>
      <c r="U24" s="114" t="s">
        <v>35</v>
      </c>
      <c r="V24" s="114" t="s">
        <v>35</v>
      </c>
      <c r="W24" s="114" t="s">
        <v>35</v>
      </c>
      <c r="X24" s="114" t="s">
        <v>35</v>
      </c>
      <c r="Y24" s="114" t="s">
        <v>35</v>
      </c>
      <c r="Z24" s="114" t="s">
        <v>35</v>
      </c>
      <c r="AA24" s="114" t="s">
        <v>35</v>
      </c>
      <c r="AB24" s="114" t="s">
        <v>35</v>
      </c>
      <c r="AC24" s="114" t="s">
        <v>35</v>
      </c>
      <c r="AD24" s="114" t="s">
        <v>35</v>
      </c>
      <c r="AE24" s="114" t="s">
        <v>35</v>
      </c>
      <c r="AF24" s="114" t="s">
        <v>35</v>
      </c>
      <c r="AG24" s="114" t="s">
        <v>35</v>
      </c>
      <c r="AH24" s="114" t="s">
        <v>35</v>
      </c>
      <c r="AI24" s="114" t="s">
        <v>35</v>
      </c>
      <c r="AJ24" s="114" t="s">
        <v>35</v>
      </c>
      <c r="AK24" s="114" t="s">
        <v>35</v>
      </c>
      <c r="AL24" s="115"/>
      <c r="AM24" s="116" t="s">
        <v>35</v>
      </c>
      <c r="AN24" s="114" t="s">
        <v>35</v>
      </c>
      <c r="AO24" s="114" t="s">
        <v>35</v>
      </c>
      <c r="AP24" s="114" t="s">
        <v>35</v>
      </c>
      <c r="AQ24" s="114" t="s">
        <v>35</v>
      </c>
      <c r="AR24" s="114" t="s">
        <v>35</v>
      </c>
      <c r="AS24" s="114" t="s">
        <v>35</v>
      </c>
      <c r="AT24" s="114" t="s">
        <v>35</v>
      </c>
      <c r="AU24" s="114" t="s">
        <v>35</v>
      </c>
      <c r="AV24" s="114" t="s">
        <v>35</v>
      </c>
      <c r="AW24" s="114" t="s">
        <v>35</v>
      </c>
      <c r="AX24" s="114" t="s">
        <v>35</v>
      </c>
      <c r="AY24" s="114" t="s">
        <v>35</v>
      </c>
      <c r="AZ24" s="114" t="s">
        <v>35</v>
      </c>
      <c r="BA24" s="114" t="s">
        <v>35</v>
      </c>
      <c r="BB24" s="114" t="s">
        <v>35</v>
      </c>
      <c r="BC24" s="114" t="s">
        <v>35</v>
      </c>
      <c r="BD24" s="114" t="s">
        <v>35</v>
      </c>
      <c r="BE24" s="114" t="s">
        <v>35</v>
      </c>
      <c r="BF24" s="114" t="s">
        <v>35</v>
      </c>
      <c r="BG24" s="114" t="s">
        <v>35</v>
      </c>
      <c r="BH24" s="114" t="s">
        <v>35</v>
      </c>
      <c r="BI24" s="114" t="s">
        <v>35</v>
      </c>
      <c r="BJ24" s="114" t="s">
        <v>35</v>
      </c>
      <c r="BK24" s="114" t="s">
        <v>35</v>
      </c>
      <c r="BL24" s="114" t="s">
        <v>35</v>
      </c>
      <c r="BM24" s="114" t="s">
        <v>35</v>
      </c>
      <c r="BN24" s="114" t="s">
        <v>35</v>
      </c>
      <c r="BO24" s="114" t="s">
        <v>35</v>
      </c>
      <c r="BP24" s="114" t="s">
        <v>35</v>
      </c>
      <c r="BQ24" s="114" t="s">
        <v>35</v>
      </c>
      <c r="BR24" s="114" t="s">
        <v>35</v>
      </c>
      <c r="BS24" s="114" t="s">
        <v>35</v>
      </c>
      <c r="BT24" s="114" t="s">
        <v>35</v>
      </c>
      <c r="BU24" s="114" t="s">
        <v>35</v>
      </c>
      <c r="BV24" s="114" t="s">
        <v>35</v>
      </c>
      <c r="BW24" s="114" t="s">
        <v>35</v>
      </c>
      <c r="BX24" s="114" t="s">
        <v>35</v>
      </c>
      <c r="BY24" s="114" t="s">
        <v>35</v>
      </c>
      <c r="BZ24" s="114" t="s">
        <v>35</v>
      </c>
      <c r="CA24" s="114" t="s">
        <v>35</v>
      </c>
      <c r="CB24" s="114" t="s">
        <v>35</v>
      </c>
      <c r="CC24" s="114" t="s">
        <v>35</v>
      </c>
      <c r="CD24" s="114" t="s">
        <v>35</v>
      </c>
      <c r="CE24" s="114" t="s">
        <v>35</v>
      </c>
      <c r="CF24" s="114" t="s">
        <v>35</v>
      </c>
      <c r="CG24" s="114" t="s">
        <v>35</v>
      </c>
      <c r="CH24" s="114" t="s">
        <v>35</v>
      </c>
      <c r="CI24" s="114" t="s">
        <v>35</v>
      </c>
      <c r="CJ24" s="114" t="s">
        <v>35</v>
      </c>
      <c r="CK24" s="114" t="s">
        <v>35</v>
      </c>
      <c r="CL24" s="114" t="s">
        <v>35</v>
      </c>
      <c r="CM24" s="114" t="s">
        <v>35</v>
      </c>
      <c r="CN24" s="114" t="s">
        <v>35</v>
      </c>
      <c r="CO24" s="114" t="s">
        <v>35</v>
      </c>
      <c r="CP24" s="114" t="s">
        <v>35</v>
      </c>
      <c r="CQ24" s="114" t="s">
        <v>35</v>
      </c>
      <c r="CR24" s="114" t="s">
        <v>35</v>
      </c>
      <c r="CS24" s="114" t="s">
        <v>35</v>
      </c>
      <c r="CT24" s="114" t="s">
        <v>35</v>
      </c>
      <c r="CU24" s="114" t="s">
        <v>35</v>
      </c>
      <c r="CV24" s="114" t="s">
        <v>35</v>
      </c>
      <c r="CW24" s="114" t="s">
        <v>35</v>
      </c>
      <c r="CX24" s="114" t="s">
        <v>35</v>
      </c>
      <c r="CY24" s="114" t="s">
        <v>35</v>
      </c>
      <c r="CZ24" s="114" t="s">
        <v>35</v>
      </c>
      <c r="DA24" s="114" t="s">
        <v>35</v>
      </c>
      <c r="DB24" s="114" t="s">
        <v>35</v>
      </c>
      <c r="DC24" s="114" t="s">
        <v>35</v>
      </c>
      <c r="DD24" s="114" t="s">
        <v>35</v>
      </c>
      <c r="DE24" s="114" t="s">
        <v>35</v>
      </c>
      <c r="DF24" s="114" t="s">
        <v>35</v>
      </c>
      <c r="DG24" s="114" t="s">
        <v>35</v>
      </c>
      <c r="DH24" s="114" t="s">
        <v>35</v>
      </c>
      <c r="DI24" s="114" t="s">
        <v>35</v>
      </c>
      <c r="DJ24" s="114" t="s">
        <v>35</v>
      </c>
    </row>
    <row r="25" spans="1:114" x14ac:dyDescent="0.25">
      <c r="A25" s="113">
        <v>1</v>
      </c>
      <c r="B25" s="110" t="s">
        <v>79</v>
      </c>
      <c r="C25" s="114" t="s">
        <v>36</v>
      </c>
      <c r="D25" s="114" t="s">
        <v>36</v>
      </c>
      <c r="E25" s="114" t="s">
        <v>36</v>
      </c>
      <c r="F25" s="114" t="s">
        <v>36</v>
      </c>
      <c r="G25" s="114" t="s">
        <v>36</v>
      </c>
      <c r="H25" s="114" t="s">
        <v>36</v>
      </c>
      <c r="I25" s="114" t="s">
        <v>36</v>
      </c>
      <c r="J25" s="114" t="s">
        <v>36</v>
      </c>
      <c r="K25" s="114" t="s">
        <v>36</v>
      </c>
      <c r="L25" s="114" t="s">
        <v>36</v>
      </c>
      <c r="M25" s="114" t="s">
        <v>36</v>
      </c>
      <c r="N25" s="114" t="s">
        <v>36</v>
      </c>
      <c r="O25" s="114" t="s">
        <v>36</v>
      </c>
      <c r="P25" s="114" t="s">
        <v>36</v>
      </c>
      <c r="Q25" s="114" t="s">
        <v>36</v>
      </c>
      <c r="R25" s="114" t="s">
        <v>36</v>
      </c>
      <c r="S25" s="114" t="s">
        <v>36</v>
      </c>
      <c r="T25" s="114" t="s">
        <v>36</v>
      </c>
      <c r="U25" s="114" t="s">
        <v>36</v>
      </c>
      <c r="V25" s="114" t="s">
        <v>36</v>
      </c>
      <c r="W25" s="114" t="s">
        <v>36</v>
      </c>
      <c r="X25" s="114" t="s">
        <v>36</v>
      </c>
      <c r="Y25" s="114" t="s">
        <v>36</v>
      </c>
      <c r="Z25" s="114" t="s">
        <v>36</v>
      </c>
      <c r="AA25" s="114" t="s">
        <v>36</v>
      </c>
      <c r="AB25" s="114" t="s">
        <v>36</v>
      </c>
      <c r="AC25" s="114" t="s">
        <v>36</v>
      </c>
      <c r="AD25" s="114" t="s">
        <v>36</v>
      </c>
      <c r="AE25" s="114" t="s">
        <v>36</v>
      </c>
      <c r="AF25" s="114" t="s">
        <v>36</v>
      </c>
      <c r="AG25" s="114" t="s">
        <v>36</v>
      </c>
      <c r="AH25" s="114" t="s">
        <v>36</v>
      </c>
      <c r="AI25" s="114" t="s">
        <v>36</v>
      </c>
      <c r="AJ25" s="114" t="s">
        <v>36</v>
      </c>
      <c r="AK25" s="114" t="s">
        <v>36</v>
      </c>
      <c r="AL25" s="114" t="s">
        <v>36</v>
      </c>
      <c r="AM25" s="114" t="s">
        <v>36</v>
      </c>
      <c r="AN25" s="114" t="s">
        <v>36</v>
      </c>
      <c r="AO25" s="114" t="s">
        <v>36</v>
      </c>
      <c r="AP25" s="114" t="s">
        <v>36</v>
      </c>
      <c r="AQ25" s="114" t="s">
        <v>36</v>
      </c>
      <c r="AR25" s="114" t="s">
        <v>36</v>
      </c>
      <c r="AS25" s="114" t="s">
        <v>36</v>
      </c>
      <c r="AT25" s="114" t="s">
        <v>36</v>
      </c>
      <c r="AU25" s="114" t="s">
        <v>36</v>
      </c>
      <c r="AV25" s="114" t="s">
        <v>36</v>
      </c>
      <c r="AW25" s="114" t="s">
        <v>36</v>
      </c>
      <c r="AX25" s="114" t="s">
        <v>36</v>
      </c>
      <c r="AY25" s="114" t="s">
        <v>36</v>
      </c>
      <c r="AZ25" s="114" t="s">
        <v>36</v>
      </c>
      <c r="BA25" s="114" t="s">
        <v>36</v>
      </c>
      <c r="BB25" s="114" t="s">
        <v>36</v>
      </c>
      <c r="BC25" s="114" t="s">
        <v>36</v>
      </c>
      <c r="BD25" s="114" t="s">
        <v>36</v>
      </c>
      <c r="BE25" s="114" t="s">
        <v>36</v>
      </c>
      <c r="BF25" s="114" t="s">
        <v>36</v>
      </c>
      <c r="BG25" s="114" t="s">
        <v>36</v>
      </c>
      <c r="BH25" s="114" t="s">
        <v>36</v>
      </c>
      <c r="BI25" s="114" t="s">
        <v>36</v>
      </c>
      <c r="BJ25" s="114" t="s">
        <v>36</v>
      </c>
      <c r="BK25" s="114" t="s">
        <v>36</v>
      </c>
      <c r="BL25" s="114" t="s">
        <v>36</v>
      </c>
      <c r="BM25" s="114" t="s">
        <v>36</v>
      </c>
      <c r="BN25" s="114" t="s">
        <v>36</v>
      </c>
      <c r="BO25" s="114" t="s">
        <v>36</v>
      </c>
      <c r="BP25" s="114" t="s">
        <v>36</v>
      </c>
      <c r="BQ25" s="114" t="s">
        <v>36</v>
      </c>
      <c r="BR25" s="114" t="s">
        <v>36</v>
      </c>
      <c r="BS25" s="114" t="s">
        <v>36</v>
      </c>
      <c r="BT25" s="114" t="s">
        <v>36</v>
      </c>
      <c r="BU25" s="114" t="s">
        <v>36</v>
      </c>
      <c r="BV25" s="114" t="s">
        <v>36</v>
      </c>
      <c r="BW25" s="114" t="s">
        <v>36</v>
      </c>
      <c r="BX25" s="114" t="s">
        <v>36</v>
      </c>
      <c r="BY25" s="114" t="s">
        <v>36</v>
      </c>
      <c r="BZ25" s="114" t="s">
        <v>36</v>
      </c>
      <c r="CA25" s="114" t="s">
        <v>36</v>
      </c>
      <c r="CB25" s="114" t="s">
        <v>36</v>
      </c>
      <c r="CC25" s="114" t="s">
        <v>36</v>
      </c>
      <c r="CD25" s="114" t="s">
        <v>36</v>
      </c>
      <c r="CE25" s="114" t="s">
        <v>36</v>
      </c>
      <c r="CF25" s="114" t="s">
        <v>36</v>
      </c>
      <c r="CG25" s="114" t="s">
        <v>36</v>
      </c>
      <c r="CH25" s="114" t="s">
        <v>36</v>
      </c>
      <c r="CI25" s="114" t="s">
        <v>36</v>
      </c>
      <c r="CJ25" s="114" t="s">
        <v>36</v>
      </c>
      <c r="CK25" s="114" t="s">
        <v>36</v>
      </c>
      <c r="CL25" s="114" t="s">
        <v>36</v>
      </c>
      <c r="CM25" s="114" t="s">
        <v>36</v>
      </c>
      <c r="CN25" s="114" t="s">
        <v>36</v>
      </c>
      <c r="CO25" s="114" t="s">
        <v>36</v>
      </c>
      <c r="CP25" s="114" t="s">
        <v>36</v>
      </c>
      <c r="CQ25" s="114" t="s">
        <v>36</v>
      </c>
      <c r="CR25" s="114" t="s">
        <v>36</v>
      </c>
      <c r="CS25" s="114" t="s">
        <v>36</v>
      </c>
      <c r="CT25" s="114" t="s">
        <v>36</v>
      </c>
      <c r="CU25" s="114" t="s">
        <v>36</v>
      </c>
      <c r="CV25" s="114" t="s">
        <v>36</v>
      </c>
      <c r="CW25" s="114" t="s">
        <v>36</v>
      </c>
      <c r="CX25" s="114" t="s">
        <v>36</v>
      </c>
      <c r="CY25" s="114" t="s">
        <v>36</v>
      </c>
      <c r="CZ25" s="114" t="s">
        <v>36</v>
      </c>
      <c r="DA25" s="114" t="s">
        <v>36</v>
      </c>
      <c r="DB25" s="114" t="s">
        <v>36</v>
      </c>
      <c r="DC25" s="114" t="s">
        <v>36</v>
      </c>
      <c r="DD25" s="114" t="s">
        <v>36</v>
      </c>
      <c r="DE25" s="114" t="s">
        <v>36</v>
      </c>
      <c r="DF25" s="114" t="s">
        <v>36</v>
      </c>
      <c r="DG25" s="114" t="s">
        <v>36</v>
      </c>
      <c r="DH25" s="114" t="s">
        <v>36</v>
      </c>
      <c r="DI25" s="114" t="s">
        <v>36</v>
      </c>
      <c r="DJ25" s="114" t="s">
        <v>36</v>
      </c>
    </row>
    <row r="26" spans="1:114" x14ac:dyDescent="0.25">
      <c r="A26" s="113">
        <v>1</v>
      </c>
      <c r="B26" s="110" t="s">
        <v>80</v>
      </c>
      <c r="C26" s="115"/>
      <c r="D26" s="115"/>
      <c r="E26" s="116" t="s">
        <v>35</v>
      </c>
      <c r="F26" s="114" t="s">
        <v>35</v>
      </c>
      <c r="G26" s="114" t="s">
        <v>35</v>
      </c>
      <c r="H26" s="114" t="s">
        <v>35</v>
      </c>
      <c r="I26" s="114" t="s">
        <v>35</v>
      </c>
      <c r="J26" s="114" t="s">
        <v>35</v>
      </c>
      <c r="K26" s="114" t="s">
        <v>35</v>
      </c>
      <c r="L26" s="114" t="s">
        <v>35</v>
      </c>
      <c r="M26" s="114" t="s">
        <v>35</v>
      </c>
      <c r="N26" s="114" t="s">
        <v>35</v>
      </c>
      <c r="O26" s="114" t="s">
        <v>35</v>
      </c>
      <c r="P26" s="114" t="s">
        <v>35</v>
      </c>
      <c r="Q26" s="114" t="s">
        <v>35</v>
      </c>
      <c r="R26" s="114" t="s">
        <v>35</v>
      </c>
      <c r="S26" s="114" t="s">
        <v>35</v>
      </c>
      <c r="T26" s="114" t="s">
        <v>35</v>
      </c>
      <c r="U26" s="114" t="s">
        <v>35</v>
      </c>
      <c r="V26" s="114" t="s">
        <v>35</v>
      </c>
      <c r="W26" s="114" t="s">
        <v>35</v>
      </c>
      <c r="X26" s="114" t="s">
        <v>35</v>
      </c>
      <c r="Y26" s="114" t="s">
        <v>35</v>
      </c>
      <c r="Z26" s="115"/>
      <c r="AA26" s="115"/>
      <c r="AB26" s="115"/>
      <c r="AC26" s="115"/>
      <c r="AD26" s="115"/>
      <c r="AE26" s="115"/>
      <c r="AF26" s="116" t="s">
        <v>35</v>
      </c>
      <c r="AG26" s="114" t="s">
        <v>35</v>
      </c>
      <c r="AH26" s="114" t="s">
        <v>35</v>
      </c>
      <c r="AI26" s="114" t="s">
        <v>35</v>
      </c>
      <c r="AJ26" s="114" t="s">
        <v>35</v>
      </c>
      <c r="AK26" s="114" t="s">
        <v>35</v>
      </c>
      <c r="AL26" s="114" t="s">
        <v>35</v>
      </c>
      <c r="AM26" s="114" t="s">
        <v>35</v>
      </c>
      <c r="AN26" s="114" t="s">
        <v>35</v>
      </c>
      <c r="AO26" s="114" t="s">
        <v>35</v>
      </c>
      <c r="AP26" s="114" t="s">
        <v>35</v>
      </c>
      <c r="AQ26" s="114" t="s">
        <v>35</v>
      </c>
      <c r="AR26" s="114" t="s">
        <v>35</v>
      </c>
      <c r="AS26" s="114" t="s">
        <v>35</v>
      </c>
      <c r="AT26" s="114" t="s">
        <v>35</v>
      </c>
      <c r="AU26" s="114" t="s">
        <v>35</v>
      </c>
      <c r="AV26" s="114" t="s">
        <v>35</v>
      </c>
      <c r="AW26" s="114" t="s">
        <v>35</v>
      </c>
      <c r="AX26" s="114" t="s">
        <v>35</v>
      </c>
      <c r="AY26" s="114" t="s">
        <v>35</v>
      </c>
      <c r="AZ26" s="114" t="s">
        <v>35</v>
      </c>
      <c r="BA26" s="114" t="s">
        <v>35</v>
      </c>
      <c r="BB26" s="114" t="s">
        <v>35</v>
      </c>
      <c r="BC26" s="114" t="s">
        <v>35</v>
      </c>
      <c r="BD26" s="114" t="s">
        <v>35</v>
      </c>
      <c r="BE26" s="114" t="s">
        <v>35</v>
      </c>
      <c r="BF26" s="114" t="s">
        <v>35</v>
      </c>
      <c r="BG26" s="114" t="s">
        <v>35</v>
      </c>
      <c r="BH26" s="114" t="s">
        <v>35</v>
      </c>
      <c r="BI26" s="114" t="s">
        <v>35</v>
      </c>
      <c r="BJ26" s="114" t="s">
        <v>35</v>
      </c>
      <c r="BK26" s="114" t="s">
        <v>35</v>
      </c>
      <c r="BL26" s="114" t="s">
        <v>35</v>
      </c>
      <c r="BM26" s="114" t="s">
        <v>35</v>
      </c>
      <c r="BN26" s="114" t="s">
        <v>35</v>
      </c>
      <c r="BO26" s="114" t="s">
        <v>35</v>
      </c>
      <c r="BP26" s="114" t="s">
        <v>35</v>
      </c>
      <c r="BQ26" s="114" t="s">
        <v>35</v>
      </c>
      <c r="BR26" s="114" t="s">
        <v>35</v>
      </c>
      <c r="BS26" s="114" t="s">
        <v>35</v>
      </c>
      <c r="BT26" s="114" t="s">
        <v>35</v>
      </c>
      <c r="BU26" s="114" t="s">
        <v>35</v>
      </c>
      <c r="BV26" s="114" t="s">
        <v>35</v>
      </c>
      <c r="BW26" s="114" t="s">
        <v>35</v>
      </c>
      <c r="BX26" s="114" t="s">
        <v>35</v>
      </c>
      <c r="BY26" s="114" t="s">
        <v>35</v>
      </c>
      <c r="BZ26" s="114" t="s">
        <v>35</v>
      </c>
      <c r="CA26" s="114" t="s">
        <v>35</v>
      </c>
      <c r="CB26" s="114" t="s">
        <v>35</v>
      </c>
      <c r="CC26" s="114" t="s">
        <v>35</v>
      </c>
      <c r="CD26" s="114" t="s">
        <v>35</v>
      </c>
      <c r="CE26" s="114" t="s">
        <v>35</v>
      </c>
      <c r="CF26" s="114" t="s">
        <v>35</v>
      </c>
      <c r="CG26" s="114" t="s">
        <v>35</v>
      </c>
      <c r="CH26" s="114" t="s">
        <v>35</v>
      </c>
      <c r="CI26" s="114" t="s">
        <v>35</v>
      </c>
      <c r="CJ26" s="114" t="s">
        <v>35</v>
      </c>
      <c r="CK26" s="114" t="s">
        <v>35</v>
      </c>
      <c r="CL26" s="114" t="s">
        <v>35</v>
      </c>
      <c r="CM26" s="114" t="s">
        <v>35</v>
      </c>
      <c r="CN26" s="114" t="s">
        <v>35</v>
      </c>
      <c r="CO26" s="114" t="s">
        <v>35</v>
      </c>
      <c r="CP26" s="114" t="s">
        <v>35</v>
      </c>
      <c r="CQ26" s="114" t="s">
        <v>35</v>
      </c>
      <c r="CR26" s="114" t="s">
        <v>35</v>
      </c>
      <c r="CS26" s="114" t="s">
        <v>35</v>
      </c>
      <c r="CT26" s="114" t="s">
        <v>35</v>
      </c>
      <c r="CU26" s="114" t="s">
        <v>35</v>
      </c>
      <c r="CV26" s="114" t="s">
        <v>35</v>
      </c>
      <c r="CW26" s="114" t="s">
        <v>35</v>
      </c>
      <c r="CX26" s="114" t="s">
        <v>35</v>
      </c>
      <c r="CY26" s="114" t="s">
        <v>35</v>
      </c>
      <c r="CZ26" s="114" t="s">
        <v>35</v>
      </c>
      <c r="DA26" s="114" t="s">
        <v>35</v>
      </c>
      <c r="DB26" s="114" t="s">
        <v>35</v>
      </c>
      <c r="DC26" s="114" t="s">
        <v>35</v>
      </c>
      <c r="DD26" s="114" t="s">
        <v>35</v>
      </c>
      <c r="DE26" s="114" t="s">
        <v>35</v>
      </c>
      <c r="DF26" s="114" t="s">
        <v>35</v>
      </c>
      <c r="DG26" s="114" t="s">
        <v>35</v>
      </c>
      <c r="DH26" s="114" t="s">
        <v>35</v>
      </c>
      <c r="DI26" s="114" t="s">
        <v>35</v>
      </c>
      <c r="DJ26" s="114" t="s">
        <v>35</v>
      </c>
    </row>
    <row r="27" spans="1:114" x14ac:dyDescent="0.25">
      <c r="A27" s="113">
        <v>1</v>
      </c>
      <c r="B27" s="110" t="s">
        <v>81</v>
      </c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/>
      <c r="DC27" s="115"/>
      <c r="DD27" s="115"/>
      <c r="DE27" s="115"/>
      <c r="DF27" s="115"/>
      <c r="DG27" s="115"/>
      <c r="DH27" s="115"/>
      <c r="DI27" s="115"/>
      <c r="DJ27" s="115"/>
    </row>
    <row r="28" spans="1:114" x14ac:dyDescent="0.25">
      <c r="A28" s="113">
        <v>1</v>
      </c>
      <c r="B28" s="110" t="s">
        <v>82</v>
      </c>
      <c r="C28" s="114" t="s">
        <v>36</v>
      </c>
      <c r="D28" s="114" t="s">
        <v>36</v>
      </c>
      <c r="E28" s="114" t="s">
        <v>36</v>
      </c>
      <c r="F28" s="114" t="s">
        <v>36</v>
      </c>
      <c r="G28" s="114" t="s">
        <v>36</v>
      </c>
      <c r="H28" s="114" t="s">
        <v>36</v>
      </c>
      <c r="I28" s="114" t="s">
        <v>36</v>
      </c>
      <c r="J28" s="114" t="s">
        <v>36</v>
      </c>
      <c r="K28" s="114" t="s">
        <v>36</v>
      </c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/>
      <c r="DC28" s="115"/>
      <c r="DD28" s="115"/>
      <c r="DE28" s="115"/>
      <c r="DF28" s="115"/>
      <c r="DG28" s="115"/>
      <c r="DH28" s="115"/>
      <c r="DI28" s="115"/>
      <c r="DJ28" s="115"/>
    </row>
    <row r="29" spans="1:114" x14ac:dyDescent="0.25">
      <c r="A29" s="113">
        <v>1</v>
      </c>
      <c r="B29" s="110" t="s">
        <v>83</v>
      </c>
      <c r="C29" s="114" t="s">
        <v>35</v>
      </c>
      <c r="D29" s="114" t="s">
        <v>35</v>
      </c>
      <c r="E29" s="114" t="s">
        <v>35</v>
      </c>
      <c r="F29" s="114" t="s">
        <v>35</v>
      </c>
      <c r="G29" s="114" t="s">
        <v>35</v>
      </c>
      <c r="H29" s="114" t="s">
        <v>35</v>
      </c>
      <c r="I29" s="114" t="s">
        <v>35</v>
      </c>
      <c r="J29" s="114" t="s">
        <v>35</v>
      </c>
      <c r="K29" s="114" t="s">
        <v>35</v>
      </c>
      <c r="L29" s="114" t="s">
        <v>35</v>
      </c>
      <c r="M29" s="114" t="s">
        <v>35</v>
      </c>
      <c r="N29" s="114" t="s">
        <v>35</v>
      </c>
      <c r="O29" s="114" t="s">
        <v>35</v>
      </c>
      <c r="P29" s="114" t="s">
        <v>35</v>
      </c>
      <c r="Q29" s="114" t="s">
        <v>35</v>
      </c>
      <c r="R29" s="114" t="s">
        <v>35</v>
      </c>
      <c r="S29" s="114" t="s">
        <v>35</v>
      </c>
      <c r="T29" s="114" t="s">
        <v>35</v>
      </c>
      <c r="U29" s="114" t="s">
        <v>35</v>
      </c>
      <c r="V29" s="114" t="s">
        <v>35</v>
      </c>
      <c r="W29" s="114" t="s">
        <v>35</v>
      </c>
      <c r="X29" s="114" t="s">
        <v>35</v>
      </c>
      <c r="Y29" s="114" t="s">
        <v>35</v>
      </c>
      <c r="Z29" s="114" t="s">
        <v>35</v>
      </c>
      <c r="AA29" s="114" t="s">
        <v>35</v>
      </c>
      <c r="AB29" s="114" t="s">
        <v>35</v>
      </c>
      <c r="AC29" s="114" t="s">
        <v>35</v>
      </c>
      <c r="AD29" s="114" t="s">
        <v>35</v>
      </c>
      <c r="AE29" s="114" t="s">
        <v>35</v>
      </c>
      <c r="AF29" s="114" t="s">
        <v>35</v>
      </c>
      <c r="AG29" s="114" t="s">
        <v>35</v>
      </c>
      <c r="AH29" s="114" t="s">
        <v>35</v>
      </c>
      <c r="AI29" s="114" t="s">
        <v>35</v>
      </c>
      <c r="AJ29" s="114" t="s">
        <v>35</v>
      </c>
      <c r="AK29" s="114" t="s">
        <v>35</v>
      </c>
      <c r="AL29" s="114" t="s">
        <v>35</v>
      </c>
      <c r="AM29" s="114" t="s">
        <v>35</v>
      </c>
      <c r="AN29" s="114" t="s">
        <v>35</v>
      </c>
      <c r="AO29" s="114" t="s">
        <v>35</v>
      </c>
      <c r="AP29" s="114" t="s">
        <v>35</v>
      </c>
      <c r="AQ29" s="114" t="s">
        <v>35</v>
      </c>
      <c r="AR29" s="114" t="s">
        <v>35</v>
      </c>
      <c r="AS29" s="114" t="s">
        <v>35</v>
      </c>
      <c r="AT29" s="114" t="s">
        <v>35</v>
      </c>
      <c r="AU29" s="114" t="s">
        <v>35</v>
      </c>
      <c r="AV29" s="114" t="s">
        <v>35</v>
      </c>
      <c r="AW29" s="114" t="s">
        <v>35</v>
      </c>
      <c r="AX29" s="114" t="s">
        <v>35</v>
      </c>
      <c r="AY29" s="114" t="s">
        <v>35</v>
      </c>
      <c r="AZ29" s="114" t="s">
        <v>35</v>
      </c>
      <c r="BA29" s="114" t="s">
        <v>35</v>
      </c>
      <c r="BB29" s="114" t="s">
        <v>35</v>
      </c>
      <c r="BC29" s="114" t="s">
        <v>35</v>
      </c>
      <c r="BD29" s="114" t="s">
        <v>35</v>
      </c>
      <c r="BE29" s="114" t="s">
        <v>35</v>
      </c>
      <c r="BF29" s="114" t="s">
        <v>35</v>
      </c>
      <c r="BG29" s="114" t="s">
        <v>35</v>
      </c>
      <c r="BH29" s="114" t="s">
        <v>35</v>
      </c>
      <c r="BI29" s="114" t="s">
        <v>35</v>
      </c>
      <c r="BJ29" s="114" t="s">
        <v>35</v>
      </c>
      <c r="BK29" s="114" t="s">
        <v>35</v>
      </c>
      <c r="BL29" s="114" t="s">
        <v>35</v>
      </c>
      <c r="BM29" s="114" t="s">
        <v>35</v>
      </c>
      <c r="BN29" s="114" t="s">
        <v>35</v>
      </c>
      <c r="BO29" s="114" t="s">
        <v>35</v>
      </c>
      <c r="BP29" s="114" t="s">
        <v>35</v>
      </c>
      <c r="BQ29" s="114" t="s">
        <v>35</v>
      </c>
      <c r="BR29" s="114" t="s">
        <v>35</v>
      </c>
      <c r="BS29" s="114" t="s">
        <v>35</v>
      </c>
      <c r="BT29" s="114" t="s">
        <v>35</v>
      </c>
      <c r="BU29" s="114" t="s">
        <v>35</v>
      </c>
      <c r="BV29" s="114" t="s">
        <v>35</v>
      </c>
      <c r="BW29" s="114" t="s">
        <v>35</v>
      </c>
      <c r="BX29" s="114" t="s">
        <v>35</v>
      </c>
      <c r="BY29" s="114" t="s">
        <v>35</v>
      </c>
      <c r="BZ29" s="114" t="s">
        <v>35</v>
      </c>
      <c r="CA29" s="114" t="s">
        <v>35</v>
      </c>
      <c r="CB29" s="114" t="s">
        <v>35</v>
      </c>
      <c r="CC29" s="114" t="s">
        <v>35</v>
      </c>
      <c r="CD29" s="114" t="s">
        <v>35</v>
      </c>
      <c r="CE29" s="114" t="s">
        <v>35</v>
      </c>
      <c r="CF29" s="114" t="s">
        <v>35</v>
      </c>
      <c r="CG29" s="114" t="s">
        <v>35</v>
      </c>
      <c r="CH29" s="114" t="s">
        <v>35</v>
      </c>
      <c r="CI29" s="114" t="s">
        <v>35</v>
      </c>
      <c r="CJ29" s="114" t="s">
        <v>35</v>
      </c>
      <c r="CK29" s="114" t="s">
        <v>35</v>
      </c>
      <c r="CL29" s="114" t="s">
        <v>35</v>
      </c>
      <c r="CM29" s="114" t="s">
        <v>35</v>
      </c>
      <c r="CN29" s="114" t="s">
        <v>35</v>
      </c>
      <c r="CO29" s="114" t="s">
        <v>35</v>
      </c>
      <c r="CP29" s="114" t="s">
        <v>35</v>
      </c>
      <c r="CQ29" s="114" t="s">
        <v>35</v>
      </c>
      <c r="CR29" s="114" t="s">
        <v>35</v>
      </c>
      <c r="CS29" s="114" t="s">
        <v>35</v>
      </c>
      <c r="CT29" s="114" t="s">
        <v>35</v>
      </c>
      <c r="CU29" s="114" t="s">
        <v>35</v>
      </c>
      <c r="CV29" s="114" t="s">
        <v>35</v>
      </c>
      <c r="CW29" s="114" t="s">
        <v>35</v>
      </c>
      <c r="CX29" s="114" t="s">
        <v>35</v>
      </c>
      <c r="CY29" s="114" t="s">
        <v>35</v>
      </c>
      <c r="CZ29" s="114" t="s">
        <v>35</v>
      </c>
      <c r="DA29" s="114" t="s">
        <v>35</v>
      </c>
      <c r="DB29" s="114" t="s">
        <v>35</v>
      </c>
      <c r="DC29" s="114" t="s">
        <v>35</v>
      </c>
      <c r="DD29" s="114" t="s">
        <v>35</v>
      </c>
      <c r="DE29" s="114" t="s">
        <v>35</v>
      </c>
      <c r="DF29" s="114" t="s">
        <v>35</v>
      </c>
      <c r="DG29" s="114" t="s">
        <v>35</v>
      </c>
      <c r="DH29" s="114" t="s">
        <v>35</v>
      </c>
      <c r="DI29" s="114" t="s">
        <v>35</v>
      </c>
      <c r="DJ29" s="114" t="s">
        <v>35</v>
      </c>
    </row>
    <row r="30" spans="1:114" x14ac:dyDescent="0.25">
      <c r="A30" s="113">
        <v>1</v>
      </c>
      <c r="B30" s="110" t="s">
        <v>84</v>
      </c>
      <c r="C30" s="114" t="s">
        <v>35</v>
      </c>
      <c r="D30" s="114" t="s">
        <v>35</v>
      </c>
      <c r="E30" s="114" t="s">
        <v>35</v>
      </c>
      <c r="F30" s="114" t="s">
        <v>35</v>
      </c>
      <c r="G30" s="114" t="s">
        <v>35</v>
      </c>
      <c r="H30" s="114" t="s">
        <v>35</v>
      </c>
      <c r="I30" s="114" t="s">
        <v>35</v>
      </c>
      <c r="J30" s="114" t="s">
        <v>35</v>
      </c>
      <c r="K30" s="114" t="s">
        <v>35</v>
      </c>
      <c r="L30" s="114" t="s">
        <v>35</v>
      </c>
      <c r="M30" s="114" t="s">
        <v>35</v>
      </c>
      <c r="N30" s="114" t="s">
        <v>35</v>
      </c>
      <c r="O30" s="114" t="s">
        <v>35</v>
      </c>
      <c r="P30" s="114" t="s">
        <v>35</v>
      </c>
      <c r="Q30" s="114" t="s">
        <v>35</v>
      </c>
      <c r="R30" s="114" t="s">
        <v>35</v>
      </c>
      <c r="S30" s="114" t="s">
        <v>35</v>
      </c>
      <c r="T30" s="114" t="s">
        <v>35</v>
      </c>
      <c r="U30" s="114" t="s">
        <v>35</v>
      </c>
      <c r="V30" s="114" t="s">
        <v>35</v>
      </c>
      <c r="W30" s="114" t="s">
        <v>35</v>
      </c>
      <c r="X30" s="114" t="s">
        <v>35</v>
      </c>
      <c r="Y30" s="114" t="s">
        <v>35</v>
      </c>
      <c r="Z30" s="114" t="s">
        <v>35</v>
      </c>
      <c r="AA30" s="114" t="s">
        <v>35</v>
      </c>
      <c r="AB30" s="114" t="s">
        <v>35</v>
      </c>
      <c r="AC30" s="114" t="s">
        <v>35</v>
      </c>
      <c r="AD30" s="114" t="s">
        <v>35</v>
      </c>
      <c r="AE30" s="114" t="s">
        <v>35</v>
      </c>
      <c r="AF30" s="114" t="s">
        <v>35</v>
      </c>
      <c r="AG30" s="114" t="s">
        <v>35</v>
      </c>
      <c r="AH30" s="114" t="s">
        <v>35</v>
      </c>
      <c r="AI30" s="114" t="s">
        <v>35</v>
      </c>
      <c r="AJ30" s="114" t="s">
        <v>35</v>
      </c>
      <c r="AK30" s="114" t="s">
        <v>35</v>
      </c>
      <c r="AL30" s="114" t="s">
        <v>35</v>
      </c>
      <c r="AM30" s="114" t="s">
        <v>35</v>
      </c>
      <c r="AN30" s="114" t="s">
        <v>35</v>
      </c>
      <c r="AO30" s="114" t="s">
        <v>35</v>
      </c>
      <c r="AP30" s="114" t="s">
        <v>35</v>
      </c>
      <c r="AQ30" s="114" t="s">
        <v>35</v>
      </c>
      <c r="AR30" s="114" t="s">
        <v>35</v>
      </c>
      <c r="AS30" s="114" t="s">
        <v>35</v>
      </c>
      <c r="AT30" s="114" t="s">
        <v>35</v>
      </c>
      <c r="AU30" s="114" t="s">
        <v>35</v>
      </c>
      <c r="AV30" s="114" t="s">
        <v>35</v>
      </c>
      <c r="AW30" s="114" t="s">
        <v>35</v>
      </c>
      <c r="AX30" s="114" t="s">
        <v>35</v>
      </c>
      <c r="AY30" s="114" t="s">
        <v>35</v>
      </c>
      <c r="AZ30" s="114" t="s">
        <v>35</v>
      </c>
      <c r="BA30" s="114" t="s">
        <v>35</v>
      </c>
      <c r="BB30" s="114" t="s">
        <v>35</v>
      </c>
      <c r="BC30" s="114" t="s">
        <v>35</v>
      </c>
      <c r="BD30" s="114" t="s">
        <v>35</v>
      </c>
      <c r="BE30" s="114" t="s">
        <v>35</v>
      </c>
      <c r="BF30" s="114" t="s">
        <v>35</v>
      </c>
      <c r="BG30" s="114" t="s">
        <v>35</v>
      </c>
      <c r="BH30" s="114" t="s">
        <v>35</v>
      </c>
      <c r="BI30" s="114" t="s">
        <v>35</v>
      </c>
      <c r="BJ30" s="114" t="s">
        <v>35</v>
      </c>
      <c r="BK30" s="114" t="s">
        <v>35</v>
      </c>
      <c r="BL30" s="114" t="s">
        <v>35</v>
      </c>
      <c r="BM30" s="114" t="s">
        <v>35</v>
      </c>
      <c r="BN30" s="114" t="s">
        <v>35</v>
      </c>
      <c r="BO30" s="114" t="s">
        <v>35</v>
      </c>
      <c r="BP30" s="114" t="s">
        <v>35</v>
      </c>
      <c r="BQ30" s="114" t="s">
        <v>35</v>
      </c>
      <c r="BR30" s="114" t="s">
        <v>35</v>
      </c>
      <c r="BS30" s="114" t="s">
        <v>35</v>
      </c>
      <c r="BT30" s="114" t="s">
        <v>35</v>
      </c>
      <c r="BU30" s="114" t="s">
        <v>35</v>
      </c>
      <c r="BV30" s="114" t="s">
        <v>35</v>
      </c>
      <c r="BW30" s="114" t="s">
        <v>35</v>
      </c>
      <c r="BX30" s="114" t="s">
        <v>35</v>
      </c>
      <c r="BY30" s="114" t="s">
        <v>35</v>
      </c>
      <c r="BZ30" s="114" t="s">
        <v>35</v>
      </c>
      <c r="CA30" s="114" t="s">
        <v>35</v>
      </c>
      <c r="CB30" s="114" t="s">
        <v>35</v>
      </c>
      <c r="CC30" s="114" t="s">
        <v>35</v>
      </c>
      <c r="CD30" s="114" t="s">
        <v>35</v>
      </c>
      <c r="CE30" s="114" t="s">
        <v>35</v>
      </c>
      <c r="CF30" s="114" t="s">
        <v>35</v>
      </c>
      <c r="CG30" s="114" t="s">
        <v>35</v>
      </c>
      <c r="CH30" s="114" t="s">
        <v>35</v>
      </c>
      <c r="CI30" s="114" t="s">
        <v>35</v>
      </c>
      <c r="CJ30" s="114" t="s">
        <v>35</v>
      </c>
      <c r="CK30" s="114" t="s">
        <v>35</v>
      </c>
      <c r="CL30" s="114" t="s">
        <v>35</v>
      </c>
      <c r="CM30" s="114" t="s">
        <v>35</v>
      </c>
      <c r="CN30" s="114" t="s">
        <v>35</v>
      </c>
      <c r="CO30" s="114" t="s">
        <v>35</v>
      </c>
      <c r="CP30" s="114" t="s">
        <v>35</v>
      </c>
      <c r="CQ30" s="114" t="s">
        <v>35</v>
      </c>
      <c r="CR30" s="114" t="s">
        <v>35</v>
      </c>
      <c r="CS30" s="114" t="s">
        <v>35</v>
      </c>
      <c r="CT30" s="114" t="s">
        <v>35</v>
      </c>
      <c r="CU30" s="114" t="s">
        <v>35</v>
      </c>
      <c r="CV30" s="114" t="s">
        <v>35</v>
      </c>
      <c r="CW30" s="114" t="s">
        <v>35</v>
      </c>
      <c r="CX30" s="115"/>
      <c r="CY30" s="115"/>
      <c r="CZ30" s="115"/>
      <c r="DA30" s="115"/>
      <c r="DB30" s="115"/>
      <c r="DC30" s="115"/>
      <c r="DD30" s="115"/>
      <c r="DE30" s="115"/>
      <c r="DF30" s="115"/>
      <c r="DG30" s="115"/>
      <c r="DH30" s="115"/>
      <c r="DI30" s="115"/>
      <c r="DJ30" s="115"/>
    </row>
    <row r="31" spans="1:114" x14ac:dyDescent="0.25">
      <c r="A31" s="113">
        <v>1</v>
      </c>
      <c r="B31" s="110" t="s">
        <v>85</v>
      </c>
      <c r="C31" s="114" t="s">
        <v>35</v>
      </c>
      <c r="D31" s="114" t="s">
        <v>35</v>
      </c>
      <c r="E31" s="114" t="s">
        <v>35</v>
      </c>
      <c r="F31" s="114" t="s">
        <v>35</v>
      </c>
      <c r="G31" s="114" t="s">
        <v>35</v>
      </c>
      <c r="H31" s="114" t="s">
        <v>35</v>
      </c>
      <c r="I31" s="114" t="s">
        <v>35</v>
      </c>
      <c r="J31" s="116" t="s">
        <v>35</v>
      </c>
      <c r="K31" s="114" t="s">
        <v>35</v>
      </c>
      <c r="L31" s="114" t="s">
        <v>35</v>
      </c>
      <c r="M31" s="114" t="s">
        <v>35</v>
      </c>
      <c r="N31" s="114" t="s">
        <v>35</v>
      </c>
      <c r="O31" s="114" t="s">
        <v>35</v>
      </c>
      <c r="P31" s="114" t="s">
        <v>35</v>
      </c>
      <c r="Q31" s="114" t="s">
        <v>35</v>
      </c>
      <c r="R31" s="114" t="s">
        <v>35</v>
      </c>
      <c r="S31" s="114" t="s">
        <v>35</v>
      </c>
      <c r="T31" s="114" t="s">
        <v>35</v>
      </c>
      <c r="U31" s="114" t="s">
        <v>35</v>
      </c>
      <c r="V31" s="114" t="s">
        <v>35</v>
      </c>
      <c r="W31" s="114" t="s">
        <v>35</v>
      </c>
      <c r="X31" s="114" t="s">
        <v>35</v>
      </c>
      <c r="Y31" s="114" t="s">
        <v>35</v>
      </c>
      <c r="Z31" s="114" t="s">
        <v>35</v>
      </c>
      <c r="AA31" s="114" t="s">
        <v>35</v>
      </c>
      <c r="AB31" s="114" t="s">
        <v>35</v>
      </c>
      <c r="AC31" s="114" t="s">
        <v>35</v>
      </c>
      <c r="AD31" s="114" t="s">
        <v>35</v>
      </c>
      <c r="AE31" s="114" t="s">
        <v>35</v>
      </c>
      <c r="AF31" s="114" t="s">
        <v>35</v>
      </c>
      <c r="AG31" s="114" t="s">
        <v>35</v>
      </c>
      <c r="AH31" s="114" t="s">
        <v>35</v>
      </c>
      <c r="AI31" s="114" t="s">
        <v>35</v>
      </c>
      <c r="AJ31" s="114" t="s">
        <v>35</v>
      </c>
      <c r="AK31" s="114" t="s">
        <v>35</v>
      </c>
      <c r="AL31" s="114" t="s">
        <v>35</v>
      </c>
      <c r="AM31" s="114" t="s">
        <v>35</v>
      </c>
      <c r="AN31" s="114" t="s">
        <v>35</v>
      </c>
      <c r="AO31" s="114" t="s">
        <v>35</v>
      </c>
      <c r="AP31" s="114" t="s">
        <v>35</v>
      </c>
      <c r="AQ31" s="114" t="s">
        <v>35</v>
      </c>
      <c r="AR31" s="114" t="s">
        <v>35</v>
      </c>
      <c r="AS31" s="114" t="s">
        <v>35</v>
      </c>
      <c r="AT31" s="114" t="s">
        <v>35</v>
      </c>
      <c r="AU31" s="114" t="s">
        <v>35</v>
      </c>
      <c r="AV31" s="114" t="s">
        <v>35</v>
      </c>
      <c r="AW31" s="114" t="s">
        <v>35</v>
      </c>
      <c r="AX31" s="114" t="s">
        <v>35</v>
      </c>
      <c r="AY31" s="114" t="s">
        <v>35</v>
      </c>
      <c r="AZ31" s="114" t="s">
        <v>35</v>
      </c>
      <c r="BA31" s="114" t="s">
        <v>35</v>
      </c>
      <c r="BB31" s="114" t="s">
        <v>35</v>
      </c>
      <c r="BC31" s="114" t="s">
        <v>35</v>
      </c>
      <c r="BD31" s="114" t="s">
        <v>35</v>
      </c>
      <c r="BE31" s="114" t="s">
        <v>35</v>
      </c>
      <c r="BF31" s="114" t="s">
        <v>35</v>
      </c>
      <c r="BG31" s="114" t="s">
        <v>35</v>
      </c>
      <c r="BH31" s="114" t="s">
        <v>35</v>
      </c>
      <c r="BI31" s="114" t="s">
        <v>35</v>
      </c>
      <c r="BJ31" s="114" t="s">
        <v>35</v>
      </c>
      <c r="BK31" s="114" t="s">
        <v>35</v>
      </c>
      <c r="BL31" s="114" t="s">
        <v>35</v>
      </c>
      <c r="BM31" s="114" t="s">
        <v>35</v>
      </c>
      <c r="BN31" s="114" t="s">
        <v>35</v>
      </c>
      <c r="BO31" s="114" t="s">
        <v>35</v>
      </c>
      <c r="BP31" s="114" t="s">
        <v>35</v>
      </c>
      <c r="BQ31" s="114" t="s">
        <v>35</v>
      </c>
      <c r="BR31" s="114" t="s">
        <v>35</v>
      </c>
      <c r="BS31" s="114" t="s">
        <v>35</v>
      </c>
      <c r="BT31" s="114" t="s">
        <v>35</v>
      </c>
      <c r="BU31" s="114" t="s">
        <v>35</v>
      </c>
      <c r="BV31" s="114" t="s">
        <v>35</v>
      </c>
      <c r="BW31" s="114" t="s">
        <v>35</v>
      </c>
      <c r="BX31" s="114" t="s">
        <v>35</v>
      </c>
      <c r="BY31" s="114" t="s">
        <v>35</v>
      </c>
      <c r="BZ31" s="114" t="s">
        <v>35</v>
      </c>
      <c r="CA31" s="114" t="s">
        <v>35</v>
      </c>
      <c r="CB31" s="114" t="s">
        <v>35</v>
      </c>
      <c r="CC31" s="114" t="s">
        <v>35</v>
      </c>
      <c r="CD31" s="114" t="s">
        <v>35</v>
      </c>
      <c r="CE31" s="114" t="s">
        <v>35</v>
      </c>
      <c r="CF31" s="114" t="s">
        <v>35</v>
      </c>
      <c r="CG31" s="114" t="s">
        <v>35</v>
      </c>
      <c r="CH31" s="114" t="s">
        <v>35</v>
      </c>
      <c r="CI31" s="114" t="s">
        <v>35</v>
      </c>
      <c r="CJ31" s="114" t="s">
        <v>35</v>
      </c>
      <c r="CK31" s="114" t="s">
        <v>35</v>
      </c>
      <c r="CL31" s="114" t="s">
        <v>35</v>
      </c>
      <c r="CM31" s="114" t="s">
        <v>35</v>
      </c>
      <c r="CN31" s="114" t="s">
        <v>35</v>
      </c>
      <c r="CO31" s="114" t="s">
        <v>35</v>
      </c>
      <c r="CP31" s="114" t="s">
        <v>35</v>
      </c>
      <c r="CQ31" s="114" t="s">
        <v>35</v>
      </c>
      <c r="CR31" s="114" t="s">
        <v>35</v>
      </c>
      <c r="CS31" s="114" t="s">
        <v>35</v>
      </c>
      <c r="CT31" s="114" t="s">
        <v>35</v>
      </c>
      <c r="CU31" s="114" t="s">
        <v>35</v>
      </c>
      <c r="CV31" s="114" t="s">
        <v>35</v>
      </c>
      <c r="CW31" s="114" t="s">
        <v>35</v>
      </c>
      <c r="CX31" s="114" t="s">
        <v>35</v>
      </c>
      <c r="CY31" s="114" t="s">
        <v>35</v>
      </c>
      <c r="CZ31" s="114" t="s">
        <v>35</v>
      </c>
      <c r="DA31" s="114" t="s">
        <v>35</v>
      </c>
      <c r="DB31" s="114" t="s">
        <v>35</v>
      </c>
      <c r="DC31" s="114" t="s">
        <v>35</v>
      </c>
      <c r="DD31" s="114" t="s">
        <v>35</v>
      </c>
      <c r="DE31" s="114" t="s">
        <v>35</v>
      </c>
      <c r="DF31" s="114" t="s">
        <v>35</v>
      </c>
      <c r="DG31" s="114" t="s">
        <v>35</v>
      </c>
      <c r="DH31" s="114" t="s">
        <v>35</v>
      </c>
      <c r="DI31" s="114" t="s">
        <v>35</v>
      </c>
      <c r="DJ31" s="114" t="s">
        <v>35</v>
      </c>
    </row>
    <row r="32" spans="1:114" x14ac:dyDescent="0.25">
      <c r="A32" s="113">
        <v>1</v>
      </c>
      <c r="B32" s="110" t="s">
        <v>86</v>
      </c>
      <c r="C32" s="114" t="s">
        <v>35</v>
      </c>
      <c r="D32" s="114" t="s">
        <v>35</v>
      </c>
      <c r="E32" s="114" t="s">
        <v>35</v>
      </c>
      <c r="F32" s="114" t="s">
        <v>35</v>
      </c>
      <c r="G32" s="114" t="s">
        <v>35</v>
      </c>
      <c r="H32" s="114" t="s">
        <v>35</v>
      </c>
      <c r="I32" s="114" t="s">
        <v>35</v>
      </c>
      <c r="J32" s="114" t="s">
        <v>35</v>
      </c>
      <c r="K32" s="114" t="s">
        <v>35</v>
      </c>
      <c r="L32" s="114" t="s">
        <v>35</v>
      </c>
      <c r="M32" s="114" t="s">
        <v>35</v>
      </c>
      <c r="N32" s="114" t="s">
        <v>35</v>
      </c>
      <c r="O32" s="114" t="s">
        <v>35</v>
      </c>
      <c r="P32" s="114" t="s">
        <v>35</v>
      </c>
      <c r="Q32" s="114" t="s">
        <v>35</v>
      </c>
      <c r="R32" s="114" t="s">
        <v>35</v>
      </c>
      <c r="S32" s="114" t="s">
        <v>35</v>
      </c>
      <c r="T32" s="114" t="s">
        <v>35</v>
      </c>
      <c r="U32" s="114" t="s">
        <v>35</v>
      </c>
      <c r="V32" s="114" t="s">
        <v>35</v>
      </c>
      <c r="W32" s="114" t="s">
        <v>35</v>
      </c>
      <c r="X32" s="114" t="s">
        <v>35</v>
      </c>
      <c r="Y32" s="114" t="s">
        <v>35</v>
      </c>
      <c r="Z32" s="114" t="s">
        <v>35</v>
      </c>
      <c r="AA32" s="114" t="s">
        <v>35</v>
      </c>
      <c r="AB32" s="114" t="s">
        <v>35</v>
      </c>
      <c r="AC32" s="114" t="s">
        <v>35</v>
      </c>
      <c r="AD32" s="114" t="s">
        <v>35</v>
      </c>
      <c r="AE32" s="114" t="s">
        <v>35</v>
      </c>
      <c r="AF32" s="114" t="s">
        <v>35</v>
      </c>
      <c r="AG32" s="114" t="s">
        <v>35</v>
      </c>
      <c r="AH32" s="114" t="s">
        <v>35</v>
      </c>
      <c r="AI32" s="114" t="s">
        <v>35</v>
      </c>
      <c r="AJ32" s="114" t="s">
        <v>35</v>
      </c>
      <c r="AK32" s="114" t="s">
        <v>35</v>
      </c>
      <c r="AL32" s="116" t="s">
        <v>35</v>
      </c>
      <c r="AM32" s="114" t="s">
        <v>35</v>
      </c>
      <c r="AN32" s="114" t="s">
        <v>35</v>
      </c>
      <c r="AO32" s="114" t="s">
        <v>35</v>
      </c>
      <c r="AP32" s="114" t="s">
        <v>35</v>
      </c>
      <c r="AQ32" s="114" t="s">
        <v>35</v>
      </c>
      <c r="AR32" s="114" t="s">
        <v>35</v>
      </c>
      <c r="AS32" s="114" t="s">
        <v>35</v>
      </c>
      <c r="AT32" s="114" t="s">
        <v>35</v>
      </c>
      <c r="AU32" s="114" t="s">
        <v>35</v>
      </c>
      <c r="AV32" s="114" t="s">
        <v>35</v>
      </c>
      <c r="AW32" s="114" t="s">
        <v>35</v>
      </c>
      <c r="AX32" s="114" t="s">
        <v>35</v>
      </c>
      <c r="AY32" s="114" t="s">
        <v>35</v>
      </c>
      <c r="AZ32" s="114" t="s">
        <v>35</v>
      </c>
      <c r="BA32" s="114" t="s">
        <v>35</v>
      </c>
      <c r="BB32" s="114" t="s">
        <v>35</v>
      </c>
      <c r="BC32" s="114" t="s">
        <v>35</v>
      </c>
      <c r="BD32" s="114" t="s">
        <v>35</v>
      </c>
      <c r="BE32" s="114" t="s">
        <v>35</v>
      </c>
      <c r="BF32" s="114" t="s">
        <v>35</v>
      </c>
      <c r="BG32" s="114" t="s">
        <v>35</v>
      </c>
      <c r="BH32" s="114" t="s">
        <v>35</v>
      </c>
      <c r="BI32" s="114" t="s">
        <v>35</v>
      </c>
      <c r="BJ32" s="114" t="s">
        <v>35</v>
      </c>
      <c r="BK32" s="114" t="s">
        <v>35</v>
      </c>
      <c r="BL32" s="114" t="s">
        <v>35</v>
      </c>
      <c r="BM32" s="114" t="s">
        <v>35</v>
      </c>
      <c r="BN32" s="114" t="s">
        <v>35</v>
      </c>
      <c r="BO32" s="114" t="s">
        <v>35</v>
      </c>
      <c r="BP32" s="114" t="s">
        <v>35</v>
      </c>
      <c r="BQ32" s="114" t="s">
        <v>35</v>
      </c>
      <c r="BR32" s="114" t="s">
        <v>35</v>
      </c>
      <c r="BS32" s="114" t="s">
        <v>35</v>
      </c>
      <c r="BT32" s="114" t="s">
        <v>35</v>
      </c>
      <c r="BU32" s="114" t="s">
        <v>35</v>
      </c>
      <c r="BV32" s="114" t="s">
        <v>35</v>
      </c>
      <c r="BW32" s="114" t="s">
        <v>35</v>
      </c>
      <c r="BX32" s="114" t="s">
        <v>35</v>
      </c>
      <c r="BY32" s="114" t="s">
        <v>35</v>
      </c>
      <c r="BZ32" s="114" t="s">
        <v>35</v>
      </c>
      <c r="CA32" s="114" t="s">
        <v>35</v>
      </c>
      <c r="CB32" s="114" t="s">
        <v>35</v>
      </c>
      <c r="CC32" s="114" t="s">
        <v>35</v>
      </c>
      <c r="CD32" s="114" t="s">
        <v>35</v>
      </c>
      <c r="CE32" s="114" t="s">
        <v>35</v>
      </c>
      <c r="CF32" s="114" t="s">
        <v>35</v>
      </c>
      <c r="CG32" s="114" t="s">
        <v>35</v>
      </c>
      <c r="CH32" s="114" t="s">
        <v>35</v>
      </c>
      <c r="CI32" s="114" t="s">
        <v>35</v>
      </c>
      <c r="CJ32" s="114" t="s">
        <v>35</v>
      </c>
      <c r="CK32" s="114" t="s">
        <v>35</v>
      </c>
      <c r="CL32" s="114" t="s">
        <v>35</v>
      </c>
      <c r="CM32" s="114" t="s">
        <v>35</v>
      </c>
      <c r="CN32" s="114" t="s">
        <v>35</v>
      </c>
      <c r="CO32" s="114" t="s">
        <v>35</v>
      </c>
      <c r="CP32" s="114" t="s">
        <v>35</v>
      </c>
      <c r="CQ32" s="114" t="s">
        <v>35</v>
      </c>
      <c r="CR32" s="114" t="s">
        <v>35</v>
      </c>
      <c r="CS32" s="114" t="s">
        <v>35</v>
      </c>
      <c r="CT32" s="114" t="s">
        <v>35</v>
      </c>
      <c r="CU32" s="114" t="s">
        <v>35</v>
      </c>
      <c r="CV32" s="114" t="s">
        <v>35</v>
      </c>
      <c r="CW32" s="114" t="s">
        <v>35</v>
      </c>
      <c r="CX32" s="114" t="s">
        <v>35</v>
      </c>
      <c r="CY32" s="114" t="s">
        <v>35</v>
      </c>
      <c r="CZ32" s="114" t="s">
        <v>35</v>
      </c>
      <c r="DA32" s="114" t="s">
        <v>35</v>
      </c>
      <c r="DB32" s="114" t="s">
        <v>35</v>
      </c>
      <c r="DC32" s="114" t="s">
        <v>35</v>
      </c>
      <c r="DD32" s="114" t="s">
        <v>35</v>
      </c>
      <c r="DE32" s="114" t="s">
        <v>35</v>
      </c>
      <c r="DF32" s="114" t="s">
        <v>35</v>
      </c>
      <c r="DG32" s="114" t="s">
        <v>35</v>
      </c>
      <c r="DH32" s="114" t="s">
        <v>35</v>
      </c>
      <c r="DI32" s="114" t="s">
        <v>35</v>
      </c>
      <c r="DJ32" s="114" t="s">
        <v>35</v>
      </c>
    </row>
    <row r="33" spans="1:114" x14ac:dyDescent="0.25">
      <c r="A33" s="113">
        <v>1</v>
      </c>
      <c r="B33" s="110" t="s">
        <v>87</v>
      </c>
      <c r="C33" s="114" t="s">
        <v>36</v>
      </c>
      <c r="D33" s="114" t="s">
        <v>36</v>
      </c>
      <c r="E33" s="114" t="s">
        <v>36</v>
      </c>
      <c r="F33" s="114" t="s">
        <v>36</v>
      </c>
      <c r="G33" s="114" t="s">
        <v>36</v>
      </c>
      <c r="H33" s="114" t="s">
        <v>36</v>
      </c>
      <c r="I33" s="114" t="s">
        <v>36</v>
      </c>
      <c r="J33" s="115"/>
      <c r="K33" s="116" t="s">
        <v>35</v>
      </c>
      <c r="L33" s="114" t="s">
        <v>35</v>
      </c>
      <c r="M33" s="114" t="s">
        <v>35</v>
      </c>
      <c r="N33" s="114" t="s">
        <v>35</v>
      </c>
      <c r="O33" s="114" t="s">
        <v>35</v>
      </c>
      <c r="P33" s="114" t="s">
        <v>35</v>
      </c>
      <c r="Q33" s="114" t="s">
        <v>35</v>
      </c>
      <c r="R33" s="114" t="s">
        <v>35</v>
      </c>
      <c r="S33" s="114" t="s">
        <v>35</v>
      </c>
      <c r="T33" s="114" t="s">
        <v>35</v>
      </c>
      <c r="U33" s="114" t="s">
        <v>35</v>
      </c>
      <c r="V33" s="114" t="s">
        <v>35</v>
      </c>
      <c r="W33" s="114" t="s">
        <v>35</v>
      </c>
      <c r="X33" s="114" t="s">
        <v>35</v>
      </c>
      <c r="Y33" s="114" t="s">
        <v>35</v>
      </c>
      <c r="Z33" s="114" t="s">
        <v>35</v>
      </c>
      <c r="AA33" s="114" t="s">
        <v>35</v>
      </c>
      <c r="AB33" s="114" t="s">
        <v>35</v>
      </c>
      <c r="AC33" s="114" t="s">
        <v>35</v>
      </c>
      <c r="AD33" s="114" t="s">
        <v>35</v>
      </c>
      <c r="AE33" s="114" t="s">
        <v>35</v>
      </c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6" t="s">
        <v>76</v>
      </c>
      <c r="BH33" s="114" t="s">
        <v>76</v>
      </c>
      <c r="BI33" s="114" t="s">
        <v>76</v>
      </c>
      <c r="BJ33" s="114" t="s">
        <v>76</v>
      </c>
      <c r="BK33" s="114" t="s">
        <v>76</v>
      </c>
      <c r="BL33" s="114" t="s">
        <v>76</v>
      </c>
      <c r="BM33" s="114" t="s">
        <v>76</v>
      </c>
      <c r="BN33" s="114" t="s">
        <v>76</v>
      </c>
      <c r="BO33" s="114" t="s">
        <v>76</v>
      </c>
      <c r="BP33" s="114" t="s">
        <v>76</v>
      </c>
      <c r="BQ33" s="114" t="s">
        <v>76</v>
      </c>
      <c r="BR33" s="114" t="s">
        <v>76</v>
      </c>
      <c r="BS33" s="114" t="s">
        <v>76</v>
      </c>
      <c r="BT33" s="114" t="s">
        <v>76</v>
      </c>
      <c r="BU33" s="114" t="s">
        <v>76</v>
      </c>
      <c r="BV33" s="114" t="s">
        <v>76</v>
      </c>
      <c r="BW33" s="114" t="s">
        <v>76</v>
      </c>
      <c r="BX33" s="114" t="s">
        <v>76</v>
      </c>
      <c r="BY33" s="114" t="s">
        <v>76</v>
      </c>
      <c r="BZ33" s="114" t="s">
        <v>76</v>
      </c>
      <c r="CA33" s="114" t="s">
        <v>76</v>
      </c>
      <c r="CB33" s="114" t="s">
        <v>76</v>
      </c>
      <c r="CC33" s="114" t="s">
        <v>76</v>
      </c>
      <c r="CD33" s="114" t="s">
        <v>76</v>
      </c>
      <c r="CE33" s="114" t="s">
        <v>76</v>
      </c>
      <c r="CF33" s="114" t="s">
        <v>76</v>
      </c>
      <c r="CG33" s="114" t="s">
        <v>76</v>
      </c>
      <c r="CH33" s="114" t="s">
        <v>76</v>
      </c>
      <c r="CI33" s="114" t="s">
        <v>76</v>
      </c>
      <c r="CJ33" s="114" t="s">
        <v>76</v>
      </c>
      <c r="CK33" s="114" t="s">
        <v>76</v>
      </c>
      <c r="CL33" s="114" t="s">
        <v>76</v>
      </c>
      <c r="CM33" s="114" t="s">
        <v>76</v>
      </c>
      <c r="CN33" s="114" t="s">
        <v>76</v>
      </c>
      <c r="CO33" s="114" t="s">
        <v>76</v>
      </c>
      <c r="CP33" s="114" t="s">
        <v>76</v>
      </c>
      <c r="CQ33" s="114" t="s">
        <v>76</v>
      </c>
      <c r="CR33" s="114" t="s">
        <v>76</v>
      </c>
      <c r="CS33" s="114" t="s">
        <v>76</v>
      </c>
      <c r="CT33" s="114" t="s">
        <v>76</v>
      </c>
      <c r="CU33" s="114" t="s">
        <v>76</v>
      </c>
      <c r="CV33" s="114" t="s">
        <v>76</v>
      </c>
      <c r="CW33" s="114" t="s">
        <v>76</v>
      </c>
      <c r="CX33" s="115"/>
      <c r="CY33" s="115"/>
      <c r="CZ33" s="115"/>
      <c r="DA33" s="115"/>
      <c r="DB33" s="115"/>
      <c r="DC33" s="115"/>
      <c r="DD33" s="115"/>
      <c r="DE33" s="115"/>
      <c r="DF33" s="115"/>
      <c r="DG33" s="115"/>
      <c r="DH33" s="115"/>
      <c r="DI33" s="115"/>
      <c r="DJ33" s="115"/>
    </row>
    <row r="34" spans="1:114" x14ac:dyDescent="0.25">
      <c r="A34" s="113">
        <v>1</v>
      </c>
      <c r="B34" s="110" t="s">
        <v>88</v>
      </c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6" t="s">
        <v>76</v>
      </c>
      <c r="BH34" s="114" t="s">
        <v>76</v>
      </c>
      <c r="BI34" s="114" t="s">
        <v>76</v>
      </c>
      <c r="BJ34" s="114" t="s">
        <v>76</v>
      </c>
      <c r="BK34" s="114" t="s">
        <v>76</v>
      </c>
      <c r="BL34" s="114" t="s">
        <v>76</v>
      </c>
      <c r="BM34" s="114" t="s">
        <v>76</v>
      </c>
      <c r="BN34" s="114" t="s">
        <v>76</v>
      </c>
      <c r="BO34" s="114" t="s">
        <v>76</v>
      </c>
      <c r="BP34" s="114" t="s">
        <v>76</v>
      </c>
      <c r="BQ34" s="114" t="s">
        <v>76</v>
      </c>
      <c r="BR34" s="114" t="s">
        <v>76</v>
      </c>
      <c r="BS34" s="114" t="s">
        <v>76</v>
      </c>
      <c r="BT34" s="114" t="s">
        <v>76</v>
      </c>
      <c r="BU34" s="114" t="s">
        <v>76</v>
      </c>
      <c r="BV34" s="114" t="s">
        <v>76</v>
      </c>
      <c r="BW34" s="114" t="s">
        <v>76</v>
      </c>
      <c r="BX34" s="114" t="s">
        <v>76</v>
      </c>
      <c r="BY34" s="114" t="s">
        <v>76</v>
      </c>
      <c r="BZ34" s="114" t="s">
        <v>76</v>
      </c>
      <c r="CA34" s="114" t="s">
        <v>76</v>
      </c>
      <c r="CB34" s="114" t="s">
        <v>76</v>
      </c>
      <c r="CC34" s="114" t="s">
        <v>76</v>
      </c>
      <c r="CD34" s="114" t="s">
        <v>76</v>
      </c>
      <c r="CE34" s="114" t="s">
        <v>76</v>
      </c>
      <c r="CF34" s="114" t="s">
        <v>76</v>
      </c>
      <c r="CG34" s="114" t="s">
        <v>76</v>
      </c>
      <c r="CH34" s="114" t="s">
        <v>76</v>
      </c>
      <c r="CI34" s="114" t="s">
        <v>76</v>
      </c>
      <c r="CJ34" s="114" t="s">
        <v>76</v>
      </c>
      <c r="CK34" s="114" t="s">
        <v>76</v>
      </c>
      <c r="CL34" s="114" t="s">
        <v>76</v>
      </c>
      <c r="CM34" s="114" t="s">
        <v>76</v>
      </c>
      <c r="CN34" s="114" t="s">
        <v>76</v>
      </c>
      <c r="CO34" s="114" t="s">
        <v>76</v>
      </c>
      <c r="CP34" s="114" t="s">
        <v>76</v>
      </c>
      <c r="CQ34" s="114" t="s">
        <v>76</v>
      </c>
      <c r="CR34" s="114" t="s">
        <v>76</v>
      </c>
      <c r="CS34" s="114" t="s">
        <v>76</v>
      </c>
      <c r="CT34" s="114" t="s">
        <v>76</v>
      </c>
      <c r="CU34" s="114" t="s">
        <v>76</v>
      </c>
      <c r="CV34" s="114" t="s">
        <v>76</v>
      </c>
      <c r="CW34" s="114" t="s">
        <v>76</v>
      </c>
      <c r="CX34" s="115"/>
      <c r="CY34" s="115"/>
      <c r="CZ34" s="115"/>
      <c r="DA34" s="115"/>
      <c r="DB34" s="115"/>
      <c r="DC34" s="115"/>
      <c r="DD34" s="115"/>
      <c r="DE34" s="115"/>
      <c r="DF34" s="115"/>
      <c r="DG34" s="115"/>
      <c r="DH34" s="115"/>
      <c r="DI34" s="115"/>
      <c r="DJ34" s="115"/>
    </row>
    <row r="35" spans="1:114" x14ac:dyDescent="0.25">
      <c r="A35" s="113">
        <v>1</v>
      </c>
      <c r="B35" s="110" t="s">
        <v>89</v>
      </c>
      <c r="C35" s="116" t="s">
        <v>35</v>
      </c>
      <c r="D35" s="114" t="s">
        <v>35</v>
      </c>
      <c r="E35" s="114" t="s">
        <v>35</v>
      </c>
      <c r="F35" s="114" t="s">
        <v>35</v>
      </c>
      <c r="G35" s="114" t="s">
        <v>35</v>
      </c>
      <c r="H35" s="114" t="s">
        <v>35</v>
      </c>
      <c r="I35" s="114" t="s">
        <v>35</v>
      </c>
      <c r="J35" s="114" t="s">
        <v>35</v>
      </c>
      <c r="K35" s="114" t="s">
        <v>35</v>
      </c>
      <c r="L35" s="114" t="s">
        <v>35</v>
      </c>
      <c r="M35" s="114" t="s">
        <v>35</v>
      </c>
      <c r="N35" s="114" t="s">
        <v>35</v>
      </c>
      <c r="O35" s="114" t="s">
        <v>35</v>
      </c>
      <c r="P35" s="114" t="s">
        <v>35</v>
      </c>
      <c r="Q35" s="114" t="s">
        <v>35</v>
      </c>
      <c r="R35" s="114" t="s">
        <v>35</v>
      </c>
      <c r="S35" s="114" t="s">
        <v>35</v>
      </c>
      <c r="T35" s="114" t="s">
        <v>35</v>
      </c>
      <c r="U35" s="114" t="s">
        <v>35</v>
      </c>
      <c r="V35" s="114" t="s">
        <v>35</v>
      </c>
      <c r="W35" s="114" t="s">
        <v>35</v>
      </c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6" t="s">
        <v>76</v>
      </c>
      <c r="BH35" s="114" t="s">
        <v>76</v>
      </c>
      <c r="BI35" s="114" t="s">
        <v>76</v>
      </c>
      <c r="BJ35" s="114" t="s">
        <v>76</v>
      </c>
      <c r="BK35" s="114" t="s">
        <v>76</v>
      </c>
      <c r="BL35" s="114" t="s">
        <v>76</v>
      </c>
      <c r="BM35" s="114" t="s">
        <v>76</v>
      </c>
      <c r="BN35" s="114" t="s">
        <v>76</v>
      </c>
      <c r="BO35" s="114" t="s">
        <v>76</v>
      </c>
      <c r="BP35" s="114" t="s">
        <v>76</v>
      </c>
      <c r="BQ35" s="114" t="s">
        <v>76</v>
      </c>
      <c r="BR35" s="114" t="s">
        <v>76</v>
      </c>
      <c r="BS35" s="114" t="s">
        <v>76</v>
      </c>
      <c r="BT35" s="114" t="s">
        <v>76</v>
      </c>
      <c r="BU35" s="114" t="s">
        <v>76</v>
      </c>
      <c r="BV35" s="114" t="s">
        <v>76</v>
      </c>
      <c r="BW35" s="114" t="s">
        <v>76</v>
      </c>
      <c r="BX35" s="114" t="s">
        <v>76</v>
      </c>
      <c r="BY35" s="114" t="s">
        <v>76</v>
      </c>
      <c r="BZ35" s="114" t="s">
        <v>76</v>
      </c>
      <c r="CA35" s="114" t="s">
        <v>76</v>
      </c>
      <c r="CB35" s="114" t="s">
        <v>76</v>
      </c>
      <c r="CC35" s="114" t="s">
        <v>76</v>
      </c>
      <c r="CD35" s="114" t="s">
        <v>76</v>
      </c>
      <c r="CE35" s="114" t="s">
        <v>76</v>
      </c>
      <c r="CF35" s="114" t="s">
        <v>76</v>
      </c>
      <c r="CG35" s="114" t="s">
        <v>76</v>
      </c>
      <c r="CH35" s="114" t="s">
        <v>76</v>
      </c>
      <c r="CI35" s="114" t="s">
        <v>76</v>
      </c>
      <c r="CJ35" s="114" t="s">
        <v>76</v>
      </c>
      <c r="CK35" s="114" t="s">
        <v>76</v>
      </c>
      <c r="CL35" s="114" t="s">
        <v>76</v>
      </c>
      <c r="CM35" s="114" t="s">
        <v>76</v>
      </c>
      <c r="CN35" s="114" t="s">
        <v>76</v>
      </c>
      <c r="CO35" s="114" t="s">
        <v>76</v>
      </c>
      <c r="CP35" s="114" t="s">
        <v>76</v>
      </c>
      <c r="CQ35" s="114" t="s">
        <v>76</v>
      </c>
      <c r="CR35" s="114" t="s">
        <v>76</v>
      </c>
      <c r="CS35" s="114" t="s">
        <v>76</v>
      </c>
      <c r="CT35" s="114" t="s">
        <v>76</v>
      </c>
      <c r="CU35" s="114" t="s">
        <v>76</v>
      </c>
      <c r="CV35" s="114" t="s">
        <v>76</v>
      </c>
      <c r="CW35" s="114" t="s">
        <v>76</v>
      </c>
      <c r="CX35" s="115"/>
      <c r="CY35" s="115"/>
      <c r="CZ35" s="115"/>
      <c r="DA35" s="115"/>
      <c r="DB35" s="115"/>
      <c r="DC35" s="115"/>
      <c r="DD35" s="115"/>
      <c r="DE35" s="115"/>
      <c r="DF35" s="115"/>
      <c r="DG35" s="115"/>
      <c r="DH35" s="115"/>
      <c r="DI35" s="115"/>
      <c r="DJ35" s="115"/>
    </row>
    <row r="36" spans="1:114" x14ac:dyDescent="0.25">
      <c r="A36" s="113">
        <v>1</v>
      </c>
      <c r="B36" s="110" t="s">
        <v>90</v>
      </c>
      <c r="C36" s="114" t="s">
        <v>36</v>
      </c>
      <c r="D36" s="114" t="s">
        <v>36</v>
      </c>
      <c r="E36" s="114" t="s">
        <v>36</v>
      </c>
      <c r="F36" s="114" t="s">
        <v>36</v>
      </c>
      <c r="G36" s="114" t="s">
        <v>36</v>
      </c>
      <c r="H36" s="114" t="s">
        <v>36</v>
      </c>
      <c r="I36" s="114" t="s">
        <v>36</v>
      </c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6" t="s">
        <v>76</v>
      </c>
      <c r="BH36" s="114" t="s">
        <v>76</v>
      </c>
      <c r="BI36" s="114" t="s">
        <v>76</v>
      </c>
      <c r="BJ36" s="114" t="s">
        <v>76</v>
      </c>
      <c r="BK36" s="114" t="s">
        <v>76</v>
      </c>
      <c r="BL36" s="114" t="s">
        <v>76</v>
      </c>
      <c r="BM36" s="114" t="s">
        <v>76</v>
      </c>
      <c r="BN36" s="114" t="s">
        <v>76</v>
      </c>
      <c r="BO36" s="114" t="s">
        <v>76</v>
      </c>
      <c r="BP36" s="114" t="s">
        <v>76</v>
      </c>
      <c r="BQ36" s="114" t="s">
        <v>76</v>
      </c>
      <c r="BR36" s="114" t="s">
        <v>76</v>
      </c>
      <c r="BS36" s="114" t="s">
        <v>76</v>
      </c>
      <c r="BT36" s="114" t="s">
        <v>76</v>
      </c>
      <c r="BU36" s="114" t="s">
        <v>76</v>
      </c>
      <c r="BV36" s="114" t="s">
        <v>76</v>
      </c>
      <c r="BW36" s="114" t="s">
        <v>76</v>
      </c>
      <c r="BX36" s="114" t="s">
        <v>76</v>
      </c>
      <c r="BY36" s="114" t="s">
        <v>76</v>
      </c>
      <c r="BZ36" s="114" t="s">
        <v>76</v>
      </c>
      <c r="CA36" s="114" t="s">
        <v>76</v>
      </c>
      <c r="CB36" s="114" t="s">
        <v>76</v>
      </c>
      <c r="CC36" s="114" t="s">
        <v>76</v>
      </c>
      <c r="CD36" s="114" t="s">
        <v>76</v>
      </c>
      <c r="CE36" s="114" t="s">
        <v>76</v>
      </c>
      <c r="CF36" s="114" t="s">
        <v>76</v>
      </c>
      <c r="CG36" s="114" t="s">
        <v>76</v>
      </c>
      <c r="CH36" s="114" t="s">
        <v>76</v>
      </c>
      <c r="CI36" s="114" t="s">
        <v>76</v>
      </c>
      <c r="CJ36" s="114" t="s">
        <v>76</v>
      </c>
      <c r="CK36" s="114" t="s">
        <v>76</v>
      </c>
      <c r="CL36" s="114" t="s">
        <v>76</v>
      </c>
      <c r="CM36" s="114" t="s">
        <v>76</v>
      </c>
      <c r="CN36" s="114" t="s">
        <v>76</v>
      </c>
      <c r="CO36" s="114" t="s">
        <v>76</v>
      </c>
      <c r="CP36" s="114" t="s">
        <v>76</v>
      </c>
      <c r="CQ36" s="114" t="s">
        <v>76</v>
      </c>
      <c r="CR36" s="114" t="s">
        <v>76</v>
      </c>
      <c r="CS36" s="114" t="s">
        <v>76</v>
      </c>
      <c r="CT36" s="114" t="s">
        <v>76</v>
      </c>
      <c r="CU36" s="114" t="s">
        <v>76</v>
      </c>
      <c r="CV36" s="114" t="s">
        <v>76</v>
      </c>
      <c r="CW36" s="114" t="s">
        <v>76</v>
      </c>
      <c r="CX36" s="115"/>
      <c r="CY36" s="115"/>
      <c r="CZ36" s="115"/>
      <c r="DA36" s="115"/>
      <c r="DB36" s="115"/>
      <c r="DC36" s="115"/>
      <c r="DD36" s="115"/>
      <c r="DE36" s="115"/>
      <c r="DF36" s="115"/>
      <c r="DG36" s="115"/>
      <c r="DH36" s="115"/>
      <c r="DI36" s="115"/>
      <c r="DJ36" s="115"/>
    </row>
    <row r="37" spans="1:114" x14ac:dyDescent="0.25">
      <c r="A37" s="113">
        <v>1</v>
      </c>
      <c r="B37" s="110" t="s">
        <v>91</v>
      </c>
      <c r="C37" s="114" t="s">
        <v>35</v>
      </c>
      <c r="D37" s="114" t="s">
        <v>35</v>
      </c>
      <c r="E37" s="114" t="s">
        <v>35</v>
      </c>
      <c r="F37" s="114" t="s">
        <v>35</v>
      </c>
      <c r="G37" s="114" t="s">
        <v>35</v>
      </c>
      <c r="H37" s="114" t="s">
        <v>35</v>
      </c>
      <c r="I37" s="114" t="s">
        <v>35</v>
      </c>
      <c r="J37" s="114" t="s">
        <v>35</v>
      </c>
      <c r="K37" s="114" t="s">
        <v>35</v>
      </c>
      <c r="L37" s="114" t="s">
        <v>35</v>
      </c>
      <c r="M37" s="114" t="s">
        <v>35</v>
      </c>
      <c r="N37" s="114" t="s">
        <v>35</v>
      </c>
      <c r="O37" s="114" t="s">
        <v>35</v>
      </c>
      <c r="P37" s="114" t="s">
        <v>35</v>
      </c>
      <c r="Q37" s="114" t="s">
        <v>35</v>
      </c>
      <c r="R37" s="114" t="s">
        <v>35</v>
      </c>
      <c r="S37" s="114" t="s">
        <v>35</v>
      </c>
      <c r="T37" s="114" t="s">
        <v>35</v>
      </c>
      <c r="U37" s="114" t="s">
        <v>35</v>
      </c>
      <c r="V37" s="114" t="s">
        <v>35</v>
      </c>
      <c r="W37" s="114" t="s">
        <v>35</v>
      </c>
      <c r="X37" s="114" t="s">
        <v>35</v>
      </c>
      <c r="Y37" s="116" t="s">
        <v>35</v>
      </c>
      <c r="Z37" s="114" t="s">
        <v>35</v>
      </c>
      <c r="AA37" s="114" t="s">
        <v>35</v>
      </c>
      <c r="AB37" s="114" t="s">
        <v>35</v>
      </c>
      <c r="AC37" s="114" t="s">
        <v>35</v>
      </c>
      <c r="AD37" s="114" t="s">
        <v>35</v>
      </c>
      <c r="AE37" s="116" t="s">
        <v>35</v>
      </c>
      <c r="AF37" s="114" t="s">
        <v>35</v>
      </c>
      <c r="AG37" s="114" t="s">
        <v>35</v>
      </c>
      <c r="AH37" s="114" t="s">
        <v>35</v>
      </c>
      <c r="AI37" s="114" t="s">
        <v>35</v>
      </c>
      <c r="AJ37" s="114" t="s">
        <v>35</v>
      </c>
      <c r="AK37" s="114" t="s">
        <v>35</v>
      </c>
      <c r="AL37" s="114" t="s">
        <v>35</v>
      </c>
      <c r="AM37" s="114" t="s">
        <v>35</v>
      </c>
      <c r="AN37" s="114" t="s">
        <v>35</v>
      </c>
      <c r="AO37" s="114" t="s">
        <v>35</v>
      </c>
      <c r="AP37" s="114" t="s">
        <v>35</v>
      </c>
      <c r="AQ37" s="114" t="s">
        <v>35</v>
      </c>
      <c r="AR37" s="114" t="s">
        <v>35</v>
      </c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6" t="s">
        <v>76</v>
      </c>
      <c r="BH37" s="114" t="s">
        <v>76</v>
      </c>
      <c r="BI37" s="114" t="s">
        <v>76</v>
      </c>
      <c r="BJ37" s="114" t="s">
        <v>76</v>
      </c>
      <c r="BK37" s="114" t="s">
        <v>76</v>
      </c>
      <c r="BL37" s="114" t="s">
        <v>76</v>
      </c>
      <c r="BM37" s="114" t="s">
        <v>76</v>
      </c>
      <c r="BN37" s="114" t="s">
        <v>76</v>
      </c>
      <c r="BO37" s="114" t="s">
        <v>76</v>
      </c>
      <c r="BP37" s="114" t="s">
        <v>76</v>
      </c>
      <c r="BQ37" s="114" t="s">
        <v>76</v>
      </c>
      <c r="BR37" s="114" t="s">
        <v>76</v>
      </c>
      <c r="BS37" s="114" t="s">
        <v>76</v>
      </c>
      <c r="BT37" s="114" t="s">
        <v>76</v>
      </c>
      <c r="BU37" s="114" t="s">
        <v>76</v>
      </c>
      <c r="BV37" s="114" t="s">
        <v>76</v>
      </c>
      <c r="BW37" s="114" t="s">
        <v>76</v>
      </c>
      <c r="BX37" s="114" t="s">
        <v>76</v>
      </c>
      <c r="BY37" s="114" t="s">
        <v>76</v>
      </c>
      <c r="BZ37" s="114" t="s">
        <v>76</v>
      </c>
      <c r="CA37" s="114" t="s">
        <v>76</v>
      </c>
      <c r="CB37" s="114" t="s">
        <v>76</v>
      </c>
      <c r="CC37" s="114" t="s">
        <v>76</v>
      </c>
      <c r="CD37" s="114" t="s">
        <v>76</v>
      </c>
      <c r="CE37" s="114" t="s">
        <v>76</v>
      </c>
      <c r="CF37" s="114" t="s">
        <v>76</v>
      </c>
      <c r="CG37" s="114" t="s">
        <v>76</v>
      </c>
      <c r="CH37" s="114" t="s">
        <v>76</v>
      </c>
      <c r="CI37" s="114" t="s">
        <v>76</v>
      </c>
      <c r="CJ37" s="114" t="s">
        <v>76</v>
      </c>
      <c r="CK37" s="114" t="s">
        <v>76</v>
      </c>
      <c r="CL37" s="114" t="s">
        <v>76</v>
      </c>
      <c r="CM37" s="114" t="s">
        <v>76</v>
      </c>
      <c r="CN37" s="114" t="s">
        <v>76</v>
      </c>
      <c r="CO37" s="114" t="s">
        <v>76</v>
      </c>
      <c r="CP37" s="114" t="s">
        <v>76</v>
      </c>
      <c r="CQ37" s="114" t="s">
        <v>76</v>
      </c>
      <c r="CR37" s="114" t="s">
        <v>76</v>
      </c>
      <c r="CS37" s="114" t="s">
        <v>76</v>
      </c>
      <c r="CT37" s="114" t="s">
        <v>76</v>
      </c>
      <c r="CU37" s="114" t="s">
        <v>76</v>
      </c>
      <c r="CV37" s="114" t="s">
        <v>76</v>
      </c>
      <c r="CW37" s="114" t="s">
        <v>76</v>
      </c>
      <c r="CX37" s="115"/>
      <c r="CY37" s="115"/>
      <c r="CZ37" s="115"/>
      <c r="DA37" s="115"/>
      <c r="DB37" s="115"/>
      <c r="DC37" s="115"/>
      <c r="DD37" s="115"/>
      <c r="DE37" s="115"/>
      <c r="DF37" s="115"/>
      <c r="DG37" s="115"/>
      <c r="DH37" s="115"/>
      <c r="DI37" s="115"/>
      <c r="DJ37" s="115"/>
    </row>
    <row r="38" spans="1:114" x14ac:dyDescent="0.25">
      <c r="A38" s="113">
        <v>1</v>
      </c>
      <c r="B38" s="110" t="s">
        <v>92</v>
      </c>
      <c r="C38" s="114" t="s">
        <v>36</v>
      </c>
      <c r="D38" s="114" t="s">
        <v>36</v>
      </c>
      <c r="E38" s="114" t="s">
        <v>36</v>
      </c>
      <c r="F38" s="114" t="s">
        <v>36</v>
      </c>
      <c r="G38" s="114" t="s">
        <v>36</v>
      </c>
      <c r="H38" s="114" t="s">
        <v>36</v>
      </c>
      <c r="I38" s="114" t="s">
        <v>36</v>
      </c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6" t="s">
        <v>76</v>
      </c>
      <c r="BH38" s="114" t="s">
        <v>76</v>
      </c>
      <c r="BI38" s="114" t="s">
        <v>76</v>
      </c>
      <c r="BJ38" s="114" t="s">
        <v>76</v>
      </c>
      <c r="BK38" s="114" t="s">
        <v>76</v>
      </c>
      <c r="BL38" s="114" t="s">
        <v>76</v>
      </c>
      <c r="BM38" s="114" t="s">
        <v>76</v>
      </c>
      <c r="BN38" s="114" t="s">
        <v>76</v>
      </c>
      <c r="BO38" s="114" t="s">
        <v>76</v>
      </c>
      <c r="BP38" s="114" t="s">
        <v>76</v>
      </c>
      <c r="BQ38" s="114" t="s">
        <v>76</v>
      </c>
      <c r="BR38" s="114" t="s">
        <v>76</v>
      </c>
      <c r="BS38" s="114" t="s">
        <v>76</v>
      </c>
      <c r="BT38" s="114" t="s">
        <v>76</v>
      </c>
      <c r="BU38" s="114" t="s">
        <v>76</v>
      </c>
      <c r="BV38" s="114" t="s">
        <v>76</v>
      </c>
      <c r="BW38" s="114" t="s">
        <v>76</v>
      </c>
      <c r="BX38" s="114" t="s">
        <v>76</v>
      </c>
      <c r="BY38" s="114" t="s">
        <v>76</v>
      </c>
      <c r="BZ38" s="114" t="s">
        <v>76</v>
      </c>
      <c r="CA38" s="114" t="s">
        <v>76</v>
      </c>
      <c r="CB38" s="114" t="s">
        <v>76</v>
      </c>
      <c r="CC38" s="114" t="s">
        <v>76</v>
      </c>
      <c r="CD38" s="114" t="s">
        <v>76</v>
      </c>
      <c r="CE38" s="114" t="s">
        <v>76</v>
      </c>
      <c r="CF38" s="114" t="s">
        <v>76</v>
      </c>
      <c r="CG38" s="114" t="s">
        <v>76</v>
      </c>
      <c r="CH38" s="114" t="s">
        <v>76</v>
      </c>
      <c r="CI38" s="114" t="s">
        <v>76</v>
      </c>
      <c r="CJ38" s="114" t="s">
        <v>76</v>
      </c>
      <c r="CK38" s="114" t="s">
        <v>76</v>
      </c>
      <c r="CL38" s="114" t="s">
        <v>76</v>
      </c>
      <c r="CM38" s="114" t="s">
        <v>76</v>
      </c>
      <c r="CN38" s="114" t="s">
        <v>76</v>
      </c>
      <c r="CO38" s="114" t="s">
        <v>76</v>
      </c>
      <c r="CP38" s="114" t="s">
        <v>76</v>
      </c>
      <c r="CQ38" s="114" t="s">
        <v>76</v>
      </c>
      <c r="CR38" s="114" t="s">
        <v>76</v>
      </c>
      <c r="CS38" s="114" t="s">
        <v>76</v>
      </c>
      <c r="CT38" s="114" t="s">
        <v>76</v>
      </c>
      <c r="CU38" s="114" t="s">
        <v>76</v>
      </c>
      <c r="CV38" s="114" t="s">
        <v>76</v>
      </c>
      <c r="CW38" s="114" t="s">
        <v>76</v>
      </c>
      <c r="CX38" s="115"/>
      <c r="CY38" s="115"/>
      <c r="CZ38" s="115"/>
      <c r="DA38" s="115"/>
      <c r="DB38" s="115"/>
      <c r="DC38" s="115"/>
      <c r="DD38" s="115"/>
      <c r="DE38" s="115"/>
      <c r="DF38" s="115"/>
      <c r="DG38" s="115"/>
      <c r="DH38" s="115"/>
      <c r="DI38" s="115"/>
      <c r="DJ38" s="115"/>
    </row>
    <row r="39" spans="1:114" x14ac:dyDescent="0.25">
      <c r="A39" s="113">
        <v>1</v>
      </c>
      <c r="B39" s="110" t="s">
        <v>93</v>
      </c>
      <c r="C39" s="115"/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/>
      <c r="DC39" s="115"/>
      <c r="DD39" s="115"/>
      <c r="DE39" s="115"/>
      <c r="DF39" s="115"/>
      <c r="DG39" s="115"/>
      <c r="DH39" s="115"/>
      <c r="DI39" s="115"/>
      <c r="DJ39" s="115"/>
    </row>
    <row r="40" spans="1:114" x14ac:dyDescent="0.25">
      <c r="A40" s="113">
        <v>1</v>
      </c>
      <c r="B40" s="110" t="s">
        <v>94</v>
      </c>
      <c r="C40" s="114" t="s">
        <v>36</v>
      </c>
      <c r="D40" s="114" t="s">
        <v>36</v>
      </c>
      <c r="E40" s="114" t="s">
        <v>36</v>
      </c>
      <c r="F40" s="117"/>
      <c r="G40" s="117"/>
      <c r="H40" s="117"/>
      <c r="I40" s="117"/>
      <c r="J40" s="117"/>
      <c r="K40" s="116" t="s">
        <v>35</v>
      </c>
      <c r="L40" s="114" t="s">
        <v>35</v>
      </c>
      <c r="M40" s="114" t="s">
        <v>35</v>
      </c>
      <c r="N40" s="114" t="s">
        <v>35</v>
      </c>
      <c r="O40" s="114" t="s">
        <v>35</v>
      </c>
      <c r="P40" s="114" t="s">
        <v>35</v>
      </c>
      <c r="Q40" s="114" t="s">
        <v>35</v>
      </c>
      <c r="R40" s="114" t="s">
        <v>35</v>
      </c>
      <c r="S40" s="114" t="s">
        <v>35</v>
      </c>
      <c r="T40" s="114" t="s">
        <v>35</v>
      </c>
      <c r="U40" s="114" t="s">
        <v>35</v>
      </c>
      <c r="V40" s="114" t="s">
        <v>35</v>
      </c>
      <c r="W40" s="114" t="s">
        <v>35</v>
      </c>
      <c r="X40" s="114" t="s">
        <v>35</v>
      </c>
      <c r="Y40" s="114" t="s">
        <v>35</v>
      </c>
      <c r="Z40" s="114" t="s">
        <v>35</v>
      </c>
      <c r="AA40" s="114" t="s">
        <v>35</v>
      </c>
      <c r="AB40" s="114" t="s">
        <v>35</v>
      </c>
      <c r="AC40" s="114" t="s">
        <v>35</v>
      </c>
      <c r="AD40" s="114" t="s">
        <v>35</v>
      </c>
      <c r="AE40" s="114" t="s">
        <v>35</v>
      </c>
      <c r="AF40" s="114" t="s">
        <v>35</v>
      </c>
      <c r="AG40" s="114" t="s">
        <v>35</v>
      </c>
      <c r="AH40" s="114" t="s">
        <v>35</v>
      </c>
      <c r="AI40" s="114" t="s">
        <v>35</v>
      </c>
      <c r="AJ40" s="114" t="s">
        <v>35</v>
      </c>
      <c r="AK40" s="114" t="s">
        <v>35</v>
      </c>
      <c r="AL40" s="114" t="s">
        <v>35</v>
      </c>
      <c r="AM40" s="116" t="s">
        <v>36</v>
      </c>
      <c r="AN40" s="114" t="s">
        <v>36</v>
      </c>
      <c r="AO40" s="114" t="s">
        <v>36</v>
      </c>
      <c r="AP40" s="114" t="s">
        <v>36</v>
      </c>
      <c r="AQ40" s="114" t="s">
        <v>36</v>
      </c>
      <c r="AR40" s="114" t="s">
        <v>36</v>
      </c>
      <c r="AS40" s="114" t="s">
        <v>36</v>
      </c>
      <c r="AT40" s="114" t="s">
        <v>36</v>
      </c>
      <c r="AU40" s="114" t="s">
        <v>36</v>
      </c>
      <c r="AV40" s="114" t="s">
        <v>36</v>
      </c>
      <c r="AW40" s="114" t="s">
        <v>36</v>
      </c>
      <c r="AX40" s="114" t="s">
        <v>36</v>
      </c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/>
      <c r="DC40" s="115"/>
      <c r="DD40" s="115"/>
      <c r="DE40" s="115"/>
      <c r="DF40" s="115"/>
      <c r="DG40" s="115"/>
      <c r="DH40" s="115"/>
      <c r="DI40" s="115"/>
      <c r="DJ40" s="115"/>
    </row>
    <row r="41" spans="1:114" x14ac:dyDescent="0.25">
      <c r="A41" s="113">
        <v>1</v>
      </c>
      <c r="B41" s="110" t="s">
        <v>95</v>
      </c>
      <c r="C41" s="116" t="s">
        <v>35</v>
      </c>
      <c r="D41" s="114" t="s">
        <v>35</v>
      </c>
      <c r="E41" s="114" t="s">
        <v>35</v>
      </c>
      <c r="F41" s="114" t="s">
        <v>35</v>
      </c>
      <c r="G41" s="114" t="s">
        <v>35</v>
      </c>
      <c r="H41" s="114" t="s">
        <v>35</v>
      </c>
      <c r="I41" s="114" t="s">
        <v>35</v>
      </c>
      <c r="J41" s="114" t="s">
        <v>35</v>
      </c>
      <c r="K41" s="114" t="s">
        <v>35</v>
      </c>
      <c r="L41" s="114" t="s">
        <v>35</v>
      </c>
      <c r="M41" s="114" t="s">
        <v>35</v>
      </c>
      <c r="N41" s="114" t="s">
        <v>35</v>
      </c>
      <c r="O41" s="114" t="s">
        <v>35</v>
      </c>
      <c r="P41" s="114" t="s">
        <v>35</v>
      </c>
      <c r="Q41" s="114" t="s">
        <v>35</v>
      </c>
      <c r="R41" s="114" t="s">
        <v>35</v>
      </c>
      <c r="S41" s="114" t="s">
        <v>35</v>
      </c>
      <c r="T41" s="114" t="s">
        <v>35</v>
      </c>
      <c r="U41" s="114" t="s">
        <v>35</v>
      </c>
      <c r="V41" s="114" t="s">
        <v>35</v>
      </c>
      <c r="W41" s="114" t="s">
        <v>35</v>
      </c>
      <c r="X41" s="114" t="s">
        <v>35</v>
      </c>
      <c r="Y41" s="114" t="s">
        <v>35</v>
      </c>
      <c r="Z41" s="114" t="s">
        <v>35</v>
      </c>
      <c r="AA41" s="114" t="s">
        <v>35</v>
      </c>
      <c r="AB41" s="114" t="s">
        <v>35</v>
      </c>
      <c r="AC41" s="114" t="s">
        <v>35</v>
      </c>
      <c r="AD41" s="114" t="s">
        <v>35</v>
      </c>
      <c r="AE41" s="114" t="s">
        <v>35</v>
      </c>
      <c r="AF41" s="114" t="s">
        <v>35</v>
      </c>
      <c r="AG41" s="114" t="s">
        <v>35</v>
      </c>
      <c r="AH41" s="114" t="s">
        <v>35</v>
      </c>
      <c r="AI41" s="114" t="s">
        <v>35</v>
      </c>
      <c r="AJ41" s="114" t="s">
        <v>35</v>
      </c>
      <c r="AK41" s="114" t="s">
        <v>35</v>
      </c>
      <c r="AL41" s="114" t="s">
        <v>35</v>
      </c>
      <c r="AM41" s="114" t="s">
        <v>35</v>
      </c>
      <c r="AN41" s="114" t="s">
        <v>35</v>
      </c>
      <c r="AO41" s="114" t="s">
        <v>35</v>
      </c>
      <c r="AP41" s="114" t="s">
        <v>35</v>
      </c>
      <c r="AQ41" s="114" t="s">
        <v>35</v>
      </c>
      <c r="AR41" s="114" t="s">
        <v>35</v>
      </c>
      <c r="AS41" s="114" t="s">
        <v>35</v>
      </c>
      <c r="AT41" s="114" t="s">
        <v>35</v>
      </c>
      <c r="AU41" s="114" t="s">
        <v>35</v>
      </c>
      <c r="AV41" s="114" t="s">
        <v>35</v>
      </c>
      <c r="AW41" s="114" t="s">
        <v>35</v>
      </c>
      <c r="AX41" s="114" t="s">
        <v>35</v>
      </c>
      <c r="AY41" s="114" t="s">
        <v>35</v>
      </c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/>
      <c r="DC41" s="115"/>
      <c r="DD41" s="115"/>
      <c r="DE41" s="115"/>
      <c r="DF41" s="115"/>
      <c r="DG41" s="115"/>
      <c r="DH41" s="115"/>
      <c r="DI41" s="115"/>
      <c r="DJ41" s="115"/>
    </row>
    <row r="42" spans="1:114" x14ac:dyDescent="0.25">
      <c r="A42" s="113">
        <v>1</v>
      </c>
      <c r="B42" s="110" t="s">
        <v>96</v>
      </c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/>
      <c r="DC42" s="115"/>
      <c r="DD42" s="115"/>
      <c r="DE42" s="115"/>
      <c r="DF42" s="115"/>
      <c r="DG42" s="115"/>
      <c r="DH42" s="115"/>
      <c r="DI42" s="115"/>
      <c r="DJ42" s="115"/>
    </row>
    <row r="43" spans="1:114" x14ac:dyDescent="0.25">
      <c r="A43" s="113">
        <v>1</v>
      </c>
      <c r="B43" s="110" t="s">
        <v>97</v>
      </c>
      <c r="C43" s="114" t="s">
        <v>36</v>
      </c>
      <c r="D43" s="114" t="s">
        <v>36</v>
      </c>
      <c r="E43" s="114" t="s">
        <v>36</v>
      </c>
      <c r="F43" s="114" t="s">
        <v>36</v>
      </c>
      <c r="G43" s="114" t="s">
        <v>36</v>
      </c>
      <c r="H43" s="114" t="s">
        <v>36</v>
      </c>
      <c r="I43" s="114" t="s">
        <v>36</v>
      </c>
      <c r="J43" s="114" t="s">
        <v>36</v>
      </c>
      <c r="K43" s="114" t="s">
        <v>36</v>
      </c>
      <c r="L43" s="114" t="s">
        <v>36</v>
      </c>
      <c r="M43" s="114" t="s">
        <v>36</v>
      </c>
      <c r="N43" s="114" t="s">
        <v>36</v>
      </c>
      <c r="O43" s="114" t="s">
        <v>36</v>
      </c>
      <c r="P43" s="114" t="s">
        <v>36</v>
      </c>
      <c r="Q43" s="114" t="s">
        <v>36</v>
      </c>
      <c r="R43" s="114" t="s">
        <v>36</v>
      </c>
      <c r="S43" s="114" t="s">
        <v>36</v>
      </c>
      <c r="T43" s="114" t="s">
        <v>36</v>
      </c>
      <c r="U43" s="114" t="s">
        <v>36</v>
      </c>
      <c r="V43" s="114" t="s">
        <v>36</v>
      </c>
      <c r="W43" s="114" t="s">
        <v>36</v>
      </c>
      <c r="X43" s="114" t="s">
        <v>36</v>
      </c>
      <c r="Y43" s="114" t="s">
        <v>36</v>
      </c>
      <c r="Z43" s="114" t="s">
        <v>36</v>
      </c>
      <c r="AA43" s="114" t="s">
        <v>36</v>
      </c>
      <c r="AB43" s="114" t="s">
        <v>36</v>
      </c>
      <c r="AC43" s="114" t="s">
        <v>36</v>
      </c>
      <c r="AD43" s="114" t="s">
        <v>36</v>
      </c>
      <c r="AE43" s="114" t="s">
        <v>36</v>
      </c>
      <c r="AF43" s="114" t="s">
        <v>36</v>
      </c>
      <c r="AG43" s="114" t="s">
        <v>36</v>
      </c>
      <c r="AH43" s="114" t="s">
        <v>36</v>
      </c>
      <c r="AI43" s="114" t="s">
        <v>36</v>
      </c>
      <c r="AJ43" s="114" t="s">
        <v>36</v>
      </c>
      <c r="AK43" s="114" t="s">
        <v>36</v>
      </c>
      <c r="AL43" s="114" t="s">
        <v>36</v>
      </c>
      <c r="AM43" s="114" t="s">
        <v>36</v>
      </c>
      <c r="AN43" s="114" t="s">
        <v>36</v>
      </c>
      <c r="AO43" s="114" t="s">
        <v>36</v>
      </c>
      <c r="AP43" s="114" t="s">
        <v>36</v>
      </c>
      <c r="AQ43" s="114" t="s">
        <v>36</v>
      </c>
      <c r="AR43" s="114" t="s">
        <v>36</v>
      </c>
      <c r="AS43" s="114" t="s">
        <v>36</v>
      </c>
      <c r="AT43" s="114" t="s">
        <v>36</v>
      </c>
      <c r="AU43" s="114" t="s">
        <v>36</v>
      </c>
      <c r="AV43" s="114" t="s">
        <v>36</v>
      </c>
      <c r="AW43" s="114" t="s">
        <v>36</v>
      </c>
      <c r="AX43" s="114" t="s">
        <v>36</v>
      </c>
      <c r="AY43" s="114" t="s">
        <v>36</v>
      </c>
      <c r="AZ43" s="114" t="s">
        <v>36</v>
      </c>
      <c r="BA43" s="114" t="s">
        <v>36</v>
      </c>
      <c r="BB43" s="114" t="s">
        <v>36</v>
      </c>
      <c r="BC43" s="114" t="s">
        <v>36</v>
      </c>
      <c r="BD43" s="114" t="s">
        <v>36</v>
      </c>
      <c r="BE43" s="114" t="s">
        <v>36</v>
      </c>
      <c r="BF43" s="114" t="s">
        <v>36</v>
      </c>
      <c r="BG43" s="114" t="s">
        <v>36</v>
      </c>
      <c r="BH43" s="114" t="s">
        <v>36</v>
      </c>
      <c r="BI43" s="114" t="s">
        <v>36</v>
      </c>
      <c r="BJ43" s="114" t="s">
        <v>36</v>
      </c>
      <c r="BK43" s="114" t="s">
        <v>36</v>
      </c>
      <c r="BL43" s="114" t="s">
        <v>36</v>
      </c>
      <c r="BM43" s="114" t="s">
        <v>36</v>
      </c>
      <c r="BN43" s="114" t="s">
        <v>36</v>
      </c>
      <c r="BO43" s="114" t="s">
        <v>36</v>
      </c>
      <c r="BP43" s="114" t="s">
        <v>36</v>
      </c>
      <c r="BQ43" s="114" t="s">
        <v>36</v>
      </c>
      <c r="BR43" s="114" t="s">
        <v>36</v>
      </c>
      <c r="BS43" s="114" t="s">
        <v>36</v>
      </c>
      <c r="BT43" s="114" t="s">
        <v>36</v>
      </c>
      <c r="BU43" s="115"/>
      <c r="BV43" s="115"/>
      <c r="BW43" s="115"/>
      <c r="BX43" s="115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5"/>
      <c r="CJ43" s="115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5"/>
      <c r="CV43" s="115"/>
      <c r="CW43" s="115"/>
      <c r="CX43" s="115"/>
      <c r="CY43" s="115"/>
      <c r="CZ43" s="115"/>
      <c r="DA43" s="115"/>
      <c r="DB43" s="115"/>
      <c r="DC43" s="115"/>
      <c r="DD43" s="115"/>
      <c r="DE43" s="115"/>
      <c r="DF43" s="115"/>
      <c r="DG43" s="115"/>
      <c r="DH43" s="115"/>
      <c r="DI43" s="115"/>
      <c r="DJ43" s="115"/>
    </row>
    <row r="44" spans="1:114" x14ac:dyDescent="0.25">
      <c r="A44" s="113">
        <v>1</v>
      </c>
      <c r="B44" s="110" t="s">
        <v>98</v>
      </c>
      <c r="C44" s="114" t="s">
        <v>35</v>
      </c>
      <c r="D44" s="114" t="s">
        <v>35</v>
      </c>
      <c r="E44" s="114" t="s">
        <v>35</v>
      </c>
      <c r="F44" s="114" t="s">
        <v>35</v>
      </c>
      <c r="G44" s="114" t="s">
        <v>35</v>
      </c>
      <c r="H44" s="114" t="s">
        <v>35</v>
      </c>
      <c r="I44" s="114" t="s">
        <v>35</v>
      </c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115"/>
      <c r="CN44" s="115"/>
      <c r="CO44" s="115"/>
      <c r="CP44" s="115"/>
      <c r="CQ44" s="115"/>
      <c r="CR44" s="115"/>
      <c r="CS44" s="115"/>
      <c r="CT44" s="115"/>
      <c r="CU44" s="115"/>
      <c r="CV44" s="115"/>
      <c r="CW44" s="115"/>
      <c r="CX44" s="115"/>
      <c r="CY44" s="115"/>
      <c r="CZ44" s="115"/>
      <c r="DA44" s="115"/>
      <c r="DB44" s="115"/>
      <c r="DC44" s="115"/>
      <c r="DD44" s="115"/>
      <c r="DE44" s="115"/>
      <c r="DF44" s="115"/>
      <c r="DG44" s="115"/>
      <c r="DH44" s="115"/>
      <c r="DI44" s="115"/>
      <c r="DJ44" s="115"/>
    </row>
    <row r="45" spans="1:114" x14ac:dyDescent="0.25">
      <c r="A45" s="113">
        <v>1</v>
      </c>
      <c r="B45" s="110" t="s">
        <v>99</v>
      </c>
      <c r="C45" s="117"/>
      <c r="D45" s="117"/>
      <c r="E45" s="117"/>
      <c r="F45" s="117"/>
      <c r="G45" s="117"/>
      <c r="H45" s="117"/>
      <c r="I45" s="117"/>
      <c r="J45" s="117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6" t="s">
        <v>76</v>
      </c>
      <c r="AN45" s="114" t="s">
        <v>76</v>
      </c>
      <c r="AO45" s="114" t="s">
        <v>76</v>
      </c>
      <c r="AP45" s="114" t="s">
        <v>76</v>
      </c>
      <c r="AQ45" s="114" t="s">
        <v>76</v>
      </c>
      <c r="AR45" s="114" t="s">
        <v>76</v>
      </c>
      <c r="AS45" s="114" t="s">
        <v>76</v>
      </c>
      <c r="AT45" s="114" t="s">
        <v>76</v>
      </c>
      <c r="AU45" s="114" t="s">
        <v>76</v>
      </c>
      <c r="AV45" s="114" t="s">
        <v>76</v>
      </c>
      <c r="AW45" s="114" t="s">
        <v>76</v>
      </c>
      <c r="AX45" s="114" t="s">
        <v>76</v>
      </c>
      <c r="AY45" s="114" t="s">
        <v>76</v>
      </c>
      <c r="AZ45" s="114" t="s">
        <v>76</v>
      </c>
      <c r="BA45" s="114" t="s">
        <v>76</v>
      </c>
      <c r="BB45" s="114" t="s">
        <v>76</v>
      </c>
      <c r="BC45" s="114" t="s">
        <v>76</v>
      </c>
      <c r="BD45" s="114" t="s">
        <v>76</v>
      </c>
      <c r="BE45" s="114" t="s">
        <v>76</v>
      </c>
      <c r="BF45" s="114" t="s">
        <v>76</v>
      </c>
      <c r="BG45" s="114" t="s">
        <v>76</v>
      </c>
      <c r="BH45" s="114" t="s">
        <v>76</v>
      </c>
      <c r="BI45" s="114" t="s">
        <v>76</v>
      </c>
      <c r="BJ45" s="114" t="s">
        <v>76</v>
      </c>
      <c r="BK45" s="114" t="s">
        <v>76</v>
      </c>
      <c r="BL45" s="114" t="s">
        <v>76</v>
      </c>
      <c r="BM45" s="114" t="s">
        <v>76</v>
      </c>
      <c r="BN45" s="114" t="s">
        <v>76</v>
      </c>
      <c r="BO45" s="114" t="s">
        <v>76</v>
      </c>
      <c r="BP45" s="114" t="s">
        <v>76</v>
      </c>
      <c r="BQ45" s="114" t="s">
        <v>76</v>
      </c>
      <c r="BR45" s="114" t="s">
        <v>76</v>
      </c>
      <c r="BS45" s="114" t="s">
        <v>76</v>
      </c>
      <c r="BT45" s="114" t="s">
        <v>76</v>
      </c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115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/>
      <c r="DC45" s="115"/>
      <c r="DD45" s="115"/>
      <c r="DE45" s="115"/>
      <c r="DF45" s="115"/>
      <c r="DG45" s="115"/>
      <c r="DH45" s="115"/>
      <c r="DI45" s="115"/>
      <c r="DJ45" s="115"/>
    </row>
    <row r="46" spans="1:114" x14ac:dyDescent="0.25">
      <c r="A46" s="113">
        <v>1</v>
      </c>
      <c r="B46" s="110" t="s">
        <v>100</v>
      </c>
      <c r="C46" s="114" t="s">
        <v>36</v>
      </c>
      <c r="D46" s="116" t="s">
        <v>35</v>
      </c>
      <c r="E46" s="114" t="s">
        <v>35</v>
      </c>
      <c r="F46" s="114" t="s">
        <v>35</v>
      </c>
      <c r="G46" s="114" t="s">
        <v>35</v>
      </c>
      <c r="H46" s="114" t="s">
        <v>35</v>
      </c>
      <c r="I46" s="114" t="s">
        <v>35</v>
      </c>
      <c r="J46" s="114" t="s">
        <v>35</v>
      </c>
      <c r="K46" s="114" t="s">
        <v>35</v>
      </c>
      <c r="L46" s="114" t="s">
        <v>35</v>
      </c>
      <c r="M46" s="114" t="s">
        <v>35</v>
      </c>
      <c r="N46" s="114" t="s">
        <v>35</v>
      </c>
      <c r="O46" s="114" t="s">
        <v>35</v>
      </c>
      <c r="P46" s="114" t="s">
        <v>35</v>
      </c>
      <c r="Q46" s="114" t="s">
        <v>35</v>
      </c>
      <c r="R46" s="114" t="s">
        <v>35</v>
      </c>
      <c r="S46" s="114" t="s">
        <v>35</v>
      </c>
      <c r="T46" s="114" t="s">
        <v>35</v>
      </c>
      <c r="U46" s="114" t="s">
        <v>35</v>
      </c>
      <c r="V46" s="114" t="s">
        <v>35</v>
      </c>
      <c r="W46" s="114" t="s">
        <v>35</v>
      </c>
      <c r="X46" s="114" t="s">
        <v>35</v>
      </c>
      <c r="Y46" s="114" t="s">
        <v>35</v>
      </c>
      <c r="Z46" s="114" t="s">
        <v>35</v>
      </c>
      <c r="AA46" s="114" t="s">
        <v>35</v>
      </c>
      <c r="AB46" s="114" t="s">
        <v>35</v>
      </c>
      <c r="AC46" s="114" t="s">
        <v>35</v>
      </c>
      <c r="AD46" s="114" t="s">
        <v>35</v>
      </c>
      <c r="AE46" s="114" t="s">
        <v>35</v>
      </c>
      <c r="AF46" s="114" t="s">
        <v>35</v>
      </c>
      <c r="AG46" s="114" t="s">
        <v>35</v>
      </c>
      <c r="AH46" s="114" t="s">
        <v>35</v>
      </c>
      <c r="AI46" s="114" t="s">
        <v>35</v>
      </c>
      <c r="AJ46" s="114" t="s">
        <v>35</v>
      </c>
      <c r="AK46" s="114" t="s">
        <v>35</v>
      </c>
      <c r="AL46" s="114" t="s">
        <v>35</v>
      </c>
      <c r="AM46" s="114" t="s">
        <v>35</v>
      </c>
      <c r="AN46" s="114" t="s">
        <v>35</v>
      </c>
      <c r="AO46" s="114" t="s">
        <v>35</v>
      </c>
      <c r="AP46" s="114" t="s">
        <v>35</v>
      </c>
      <c r="AQ46" s="114" t="s">
        <v>35</v>
      </c>
      <c r="AR46" s="114" t="s">
        <v>35</v>
      </c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  <c r="CZ46" s="115"/>
      <c r="DA46" s="115"/>
      <c r="DB46" s="115"/>
      <c r="DC46" s="115"/>
      <c r="DD46" s="115"/>
      <c r="DE46" s="115"/>
      <c r="DF46" s="115"/>
      <c r="DG46" s="115"/>
      <c r="DH46" s="115"/>
      <c r="DI46" s="115"/>
      <c r="DJ46" s="115"/>
    </row>
    <row r="47" spans="1:114" x14ac:dyDescent="0.25">
      <c r="A47" s="113">
        <v>1</v>
      </c>
      <c r="B47" s="110" t="s">
        <v>101</v>
      </c>
      <c r="C47" s="114" t="s">
        <v>35</v>
      </c>
      <c r="D47" s="114" t="s">
        <v>35</v>
      </c>
      <c r="E47" s="114" t="s">
        <v>35</v>
      </c>
      <c r="F47" s="114" t="s">
        <v>35</v>
      </c>
      <c r="G47" s="114" t="s">
        <v>35</v>
      </c>
      <c r="H47" s="114" t="s">
        <v>35</v>
      </c>
      <c r="I47" s="114" t="s">
        <v>35</v>
      </c>
      <c r="J47" s="114" t="s">
        <v>35</v>
      </c>
      <c r="K47" s="114" t="s">
        <v>35</v>
      </c>
      <c r="L47" s="114" t="s">
        <v>35</v>
      </c>
      <c r="M47" s="114" t="s">
        <v>35</v>
      </c>
      <c r="N47" s="114" t="s">
        <v>35</v>
      </c>
      <c r="O47" s="114" t="s">
        <v>35</v>
      </c>
      <c r="P47" s="114" t="s">
        <v>35</v>
      </c>
      <c r="Q47" s="114" t="s">
        <v>35</v>
      </c>
      <c r="R47" s="114" t="s">
        <v>35</v>
      </c>
      <c r="S47" s="114" t="s">
        <v>35</v>
      </c>
      <c r="T47" s="114" t="s">
        <v>35</v>
      </c>
      <c r="U47" s="114" t="s">
        <v>35</v>
      </c>
      <c r="V47" s="114" t="s">
        <v>35</v>
      </c>
      <c r="W47" s="114" t="s">
        <v>35</v>
      </c>
      <c r="X47" s="114" t="s">
        <v>35</v>
      </c>
      <c r="Y47" s="114" t="s">
        <v>35</v>
      </c>
      <c r="Z47" s="114" t="s">
        <v>35</v>
      </c>
      <c r="AA47" s="114" t="s">
        <v>35</v>
      </c>
      <c r="AB47" s="114" t="s">
        <v>35</v>
      </c>
      <c r="AC47" s="114" t="s">
        <v>35</v>
      </c>
      <c r="AD47" s="114" t="s">
        <v>35</v>
      </c>
      <c r="AE47" s="114" t="s">
        <v>35</v>
      </c>
      <c r="AF47" s="114" t="s">
        <v>35</v>
      </c>
      <c r="AG47" s="114" t="s">
        <v>35</v>
      </c>
      <c r="AH47" s="114" t="s">
        <v>35</v>
      </c>
      <c r="AI47" s="114" t="s">
        <v>35</v>
      </c>
      <c r="AJ47" s="114" t="s">
        <v>35</v>
      </c>
      <c r="AK47" s="114" t="s">
        <v>35</v>
      </c>
      <c r="AL47" s="114" t="s">
        <v>35</v>
      </c>
      <c r="AM47" s="114" t="s">
        <v>35</v>
      </c>
      <c r="AN47" s="114" t="s">
        <v>35</v>
      </c>
      <c r="AO47" s="114" t="s">
        <v>35</v>
      </c>
      <c r="AP47" s="114" t="s">
        <v>35</v>
      </c>
      <c r="AQ47" s="114" t="s">
        <v>35</v>
      </c>
      <c r="AR47" s="114" t="s">
        <v>35</v>
      </c>
      <c r="AS47" s="114" t="s">
        <v>35</v>
      </c>
      <c r="AT47" s="116" t="s">
        <v>76</v>
      </c>
      <c r="AU47" s="114" t="s">
        <v>76</v>
      </c>
      <c r="AV47" s="114" t="s">
        <v>76</v>
      </c>
      <c r="AW47" s="114" t="s">
        <v>76</v>
      </c>
      <c r="AX47" s="114" t="s">
        <v>76</v>
      </c>
      <c r="AY47" s="114" t="s">
        <v>76</v>
      </c>
      <c r="AZ47" s="114" t="s">
        <v>76</v>
      </c>
      <c r="BA47" s="114" t="s">
        <v>76</v>
      </c>
      <c r="BB47" s="114" t="s">
        <v>76</v>
      </c>
      <c r="BC47" s="114" t="s">
        <v>76</v>
      </c>
      <c r="BD47" s="114" t="s">
        <v>76</v>
      </c>
      <c r="BE47" s="114" t="s">
        <v>76</v>
      </c>
      <c r="BF47" s="114" t="s">
        <v>76</v>
      </c>
      <c r="BG47" s="114" t="s">
        <v>76</v>
      </c>
      <c r="BH47" s="114" t="s">
        <v>76</v>
      </c>
      <c r="BI47" s="114" t="s">
        <v>76</v>
      </c>
      <c r="BJ47" s="114" t="s">
        <v>76</v>
      </c>
      <c r="BK47" s="114" t="s">
        <v>76</v>
      </c>
      <c r="BL47" s="114" t="s">
        <v>76</v>
      </c>
      <c r="BM47" s="114" t="s">
        <v>76</v>
      </c>
      <c r="BN47" s="114" t="s">
        <v>76</v>
      </c>
      <c r="BO47" s="114" t="s">
        <v>76</v>
      </c>
      <c r="BP47" s="114" t="s">
        <v>76</v>
      </c>
      <c r="BQ47" s="114" t="s">
        <v>76</v>
      </c>
      <c r="BR47" s="114" t="s">
        <v>76</v>
      </c>
      <c r="BS47" s="114" t="s">
        <v>76</v>
      </c>
      <c r="BT47" s="114" t="s">
        <v>76</v>
      </c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115"/>
      <c r="CN47" s="115"/>
      <c r="CO47" s="115"/>
      <c r="CP47" s="115"/>
      <c r="CQ47" s="115"/>
      <c r="CR47" s="115"/>
      <c r="CS47" s="115"/>
      <c r="CT47" s="115"/>
      <c r="CU47" s="115"/>
      <c r="CV47" s="115"/>
      <c r="CW47" s="115"/>
      <c r="CX47" s="115"/>
      <c r="CY47" s="115"/>
      <c r="CZ47" s="115"/>
      <c r="DA47" s="115"/>
      <c r="DB47" s="115"/>
      <c r="DC47" s="115"/>
      <c r="DD47" s="115"/>
      <c r="DE47" s="115"/>
      <c r="DF47" s="115"/>
      <c r="DG47" s="115"/>
      <c r="DH47" s="115"/>
      <c r="DI47" s="115"/>
      <c r="DJ47" s="115"/>
    </row>
    <row r="48" spans="1:114" x14ac:dyDescent="0.25">
      <c r="A48" s="113">
        <v>1</v>
      </c>
      <c r="B48" s="110" t="s">
        <v>102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6" t="s">
        <v>35</v>
      </c>
      <c r="R48" s="114" t="s">
        <v>35</v>
      </c>
      <c r="S48" s="114" t="s">
        <v>35</v>
      </c>
      <c r="T48" s="114" t="s">
        <v>35</v>
      </c>
      <c r="U48" s="114" t="s">
        <v>35</v>
      </c>
      <c r="V48" s="114" t="s">
        <v>35</v>
      </c>
      <c r="W48" s="114" t="s">
        <v>35</v>
      </c>
      <c r="X48" s="114" t="s">
        <v>35</v>
      </c>
      <c r="Y48" s="114" t="s">
        <v>35</v>
      </c>
      <c r="Z48" s="114" t="s">
        <v>35</v>
      </c>
      <c r="AA48" s="114" t="s">
        <v>35</v>
      </c>
      <c r="AB48" s="114" t="s">
        <v>35</v>
      </c>
      <c r="AC48" s="114" t="s">
        <v>35</v>
      </c>
      <c r="AD48" s="114" t="s">
        <v>35</v>
      </c>
      <c r="AE48" s="114" t="s">
        <v>35</v>
      </c>
      <c r="AF48" s="114" t="s">
        <v>35</v>
      </c>
      <c r="AG48" s="114" t="s">
        <v>35</v>
      </c>
      <c r="AH48" s="114" t="s">
        <v>35</v>
      </c>
      <c r="AI48" s="114" t="s">
        <v>35</v>
      </c>
      <c r="AJ48" s="114" t="s">
        <v>35</v>
      </c>
      <c r="AK48" s="114" t="s">
        <v>35</v>
      </c>
      <c r="AL48" s="114" t="s">
        <v>35</v>
      </c>
      <c r="AM48" s="114" t="s">
        <v>35</v>
      </c>
      <c r="AN48" s="114" t="s">
        <v>35</v>
      </c>
      <c r="AO48" s="114" t="s">
        <v>35</v>
      </c>
      <c r="AP48" s="114" t="s">
        <v>35</v>
      </c>
      <c r="AQ48" s="114" t="s">
        <v>35</v>
      </c>
      <c r="AR48" s="114" t="s">
        <v>35</v>
      </c>
      <c r="AS48" s="114" t="s">
        <v>35</v>
      </c>
      <c r="AT48" s="114" t="s">
        <v>35</v>
      </c>
      <c r="AU48" s="114" t="s">
        <v>35</v>
      </c>
      <c r="AV48" s="114" t="s">
        <v>35</v>
      </c>
      <c r="AW48" s="114" t="s">
        <v>35</v>
      </c>
      <c r="AX48" s="114" t="s">
        <v>35</v>
      </c>
      <c r="AY48" s="114" t="s">
        <v>35</v>
      </c>
      <c r="AZ48" s="114" t="s">
        <v>35</v>
      </c>
      <c r="BA48" s="114" t="s">
        <v>35</v>
      </c>
      <c r="BB48" s="114" t="s">
        <v>35</v>
      </c>
      <c r="BC48" s="114" t="s">
        <v>35</v>
      </c>
      <c r="BD48" s="114" t="s">
        <v>35</v>
      </c>
      <c r="BE48" s="114" t="s">
        <v>35</v>
      </c>
      <c r="BF48" s="114" t="s">
        <v>35</v>
      </c>
      <c r="BG48" s="114" t="s">
        <v>35</v>
      </c>
      <c r="BH48" s="114" t="s">
        <v>35</v>
      </c>
      <c r="BI48" s="114" t="s">
        <v>35</v>
      </c>
      <c r="BJ48" s="114" t="s">
        <v>35</v>
      </c>
      <c r="BK48" s="114" t="s">
        <v>35</v>
      </c>
      <c r="BL48" s="114" t="s">
        <v>35</v>
      </c>
      <c r="BM48" s="114" t="s">
        <v>35</v>
      </c>
      <c r="BN48" s="114" t="s">
        <v>35</v>
      </c>
      <c r="BO48" s="114" t="s">
        <v>35</v>
      </c>
      <c r="BP48" s="114" t="s">
        <v>35</v>
      </c>
      <c r="BQ48" s="114" t="s">
        <v>35</v>
      </c>
      <c r="BR48" s="114" t="s">
        <v>35</v>
      </c>
      <c r="BS48" s="114" t="s">
        <v>35</v>
      </c>
      <c r="BT48" s="114" t="s">
        <v>35</v>
      </c>
      <c r="BU48" s="114" t="s">
        <v>35</v>
      </c>
      <c r="BV48" s="114" t="s">
        <v>35</v>
      </c>
      <c r="BW48" s="114" t="s">
        <v>35</v>
      </c>
      <c r="BX48" s="114" t="s">
        <v>35</v>
      </c>
      <c r="BY48" s="114" t="s">
        <v>35</v>
      </c>
      <c r="BZ48" s="114" t="s">
        <v>35</v>
      </c>
      <c r="CA48" s="114" t="s">
        <v>35</v>
      </c>
      <c r="CB48" s="114" t="s">
        <v>35</v>
      </c>
      <c r="CC48" s="114" t="s">
        <v>35</v>
      </c>
      <c r="CD48" s="114" t="s">
        <v>35</v>
      </c>
      <c r="CE48" s="114" t="s">
        <v>35</v>
      </c>
      <c r="CF48" s="114" t="s">
        <v>35</v>
      </c>
      <c r="CG48" s="114" t="s">
        <v>35</v>
      </c>
      <c r="CH48" s="114" t="s">
        <v>35</v>
      </c>
      <c r="CI48" s="114" t="s">
        <v>35</v>
      </c>
      <c r="CJ48" s="114" t="s">
        <v>35</v>
      </c>
      <c r="CK48" s="114" t="s">
        <v>35</v>
      </c>
      <c r="CL48" s="114" t="s">
        <v>35</v>
      </c>
      <c r="CM48" s="114" t="s">
        <v>35</v>
      </c>
      <c r="CN48" s="114" t="s">
        <v>35</v>
      </c>
      <c r="CO48" s="114" t="s">
        <v>35</v>
      </c>
      <c r="CP48" s="114" t="s">
        <v>35</v>
      </c>
      <c r="CQ48" s="114" t="s">
        <v>35</v>
      </c>
      <c r="CR48" s="114" t="s">
        <v>35</v>
      </c>
      <c r="CS48" s="114" t="s">
        <v>35</v>
      </c>
      <c r="CT48" s="114" t="s">
        <v>35</v>
      </c>
      <c r="CU48" s="114" t="s">
        <v>35</v>
      </c>
      <c r="CV48" s="114" t="s">
        <v>35</v>
      </c>
      <c r="CW48" s="114" t="s">
        <v>35</v>
      </c>
      <c r="CX48" s="114" t="s">
        <v>35</v>
      </c>
      <c r="CY48" s="114" t="s">
        <v>35</v>
      </c>
      <c r="CZ48" s="114" t="s">
        <v>35</v>
      </c>
      <c r="DA48" s="114" t="s">
        <v>35</v>
      </c>
      <c r="DB48" s="114" t="s">
        <v>35</v>
      </c>
      <c r="DC48" s="114" t="s">
        <v>35</v>
      </c>
      <c r="DD48" s="114" t="s">
        <v>35</v>
      </c>
      <c r="DE48" s="114" t="s">
        <v>35</v>
      </c>
      <c r="DF48" s="114" t="s">
        <v>35</v>
      </c>
      <c r="DG48" s="114" t="s">
        <v>35</v>
      </c>
      <c r="DH48" s="114" t="s">
        <v>35</v>
      </c>
      <c r="DI48" s="114" t="s">
        <v>35</v>
      </c>
      <c r="DJ48" s="114" t="s">
        <v>35</v>
      </c>
    </row>
    <row r="49" spans="1:114" x14ac:dyDescent="0.25">
      <c r="A49" s="113">
        <v>1</v>
      </c>
      <c r="B49" s="110" t="s">
        <v>103</v>
      </c>
      <c r="C49" s="117"/>
      <c r="D49" s="117"/>
      <c r="E49" s="117"/>
      <c r="F49" s="117"/>
      <c r="G49" s="117"/>
      <c r="H49" s="119" t="s">
        <v>36</v>
      </c>
      <c r="I49" s="114" t="s">
        <v>36</v>
      </c>
      <c r="J49" s="114" t="s">
        <v>36</v>
      </c>
      <c r="K49" s="114" t="s">
        <v>36</v>
      </c>
      <c r="L49" s="114" t="s">
        <v>36</v>
      </c>
      <c r="M49" s="114" t="s">
        <v>36</v>
      </c>
      <c r="N49" s="114" t="s">
        <v>36</v>
      </c>
      <c r="O49" s="114" t="s">
        <v>36</v>
      </c>
      <c r="P49" s="114" t="s">
        <v>36</v>
      </c>
      <c r="Q49" s="114" t="s">
        <v>36</v>
      </c>
      <c r="R49" s="114" t="s">
        <v>36</v>
      </c>
      <c r="S49" s="114" t="s">
        <v>36</v>
      </c>
      <c r="T49" s="114" t="s">
        <v>36</v>
      </c>
      <c r="U49" s="114" t="s">
        <v>36</v>
      </c>
      <c r="V49" s="114" t="s">
        <v>36</v>
      </c>
      <c r="W49" s="114" t="s">
        <v>36</v>
      </c>
      <c r="X49" s="114" t="s">
        <v>36</v>
      </c>
      <c r="Y49" s="114" t="s">
        <v>36</v>
      </c>
      <c r="Z49" s="114" t="s">
        <v>36</v>
      </c>
      <c r="AA49" s="114" t="s">
        <v>36</v>
      </c>
      <c r="AB49" s="114" t="s">
        <v>36</v>
      </c>
      <c r="AC49" s="114" t="s">
        <v>36</v>
      </c>
      <c r="AD49" s="115"/>
      <c r="AE49" s="115"/>
      <c r="AF49" s="116" t="s">
        <v>35</v>
      </c>
      <c r="AG49" s="114" t="s">
        <v>35</v>
      </c>
      <c r="AH49" s="114" t="s">
        <v>35</v>
      </c>
      <c r="AI49" s="114" t="s">
        <v>35</v>
      </c>
      <c r="AJ49" s="114" t="s">
        <v>35</v>
      </c>
      <c r="AK49" s="114" t="s">
        <v>35</v>
      </c>
      <c r="AL49" s="114" t="s">
        <v>35</v>
      </c>
      <c r="AM49" s="114" t="s">
        <v>35</v>
      </c>
      <c r="AN49" s="114" t="s">
        <v>35</v>
      </c>
      <c r="AO49" s="114" t="s">
        <v>35</v>
      </c>
      <c r="AP49" s="114" t="s">
        <v>35</v>
      </c>
      <c r="AQ49" s="114" t="s">
        <v>35</v>
      </c>
      <c r="AR49" s="114" t="s">
        <v>35</v>
      </c>
      <c r="AS49" s="114" t="s">
        <v>35</v>
      </c>
      <c r="AT49" s="114" t="s">
        <v>35</v>
      </c>
      <c r="AU49" s="114" t="s">
        <v>35</v>
      </c>
      <c r="AV49" s="114" t="s">
        <v>35</v>
      </c>
      <c r="AW49" s="114" t="s">
        <v>35</v>
      </c>
      <c r="AX49" s="114" t="s">
        <v>35</v>
      </c>
      <c r="AY49" s="114" t="s">
        <v>35</v>
      </c>
      <c r="AZ49" s="114" t="s">
        <v>35</v>
      </c>
      <c r="BA49" s="114" t="s">
        <v>35</v>
      </c>
      <c r="BB49" s="114" t="s">
        <v>35</v>
      </c>
      <c r="BC49" s="114" t="s">
        <v>35</v>
      </c>
      <c r="BD49" s="114" t="s">
        <v>35</v>
      </c>
      <c r="BE49" s="114" t="s">
        <v>35</v>
      </c>
      <c r="BF49" s="114" t="s">
        <v>35</v>
      </c>
      <c r="BG49" s="114" t="s">
        <v>35</v>
      </c>
      <c r="BH49" s="114" t="s">
        <v>35</v>
      </c>
      <c r="BI49" s="114" t="s">
        <v>35</v>
      </c>
      <c r="BJ49" s="114" t="s">
        <v>35</v>
      </c>
      <c r="BK49" s="114" t="s">
        <v>35</v>
      </c>
      <c r="BL49" s="114" t="s">
        <v>35</v>
      </c>
      <c r="BM49" s="114" t="s">
        <v>35</v>
      </c>
      <c r="BN49" s="114" t="s">
        <v>35</v>
      </c>
      <c r="BO49" s="114" t="s">
        <v>35</v>
      </c>
      <c r="BP49" s="114" t="s">
        <v>35</v>
      </c>
      <c r="BQ49" s="114" t="s">
        <v>35</v>
      </c>
      <c r="BR49" s="114" t="s">
        <v>35</v>
      </c>
      <c r="BS49" s="114" t="s">
        <v>35</v>
      </c>
      <c r="BT49" s="114" t="s">
        <v>35</v>
      </c>
      <c r="BU49" s="114" t="s">
        <v>35</v>
      </c>
      <c r="BV49" s="114" t="s">
        <v>35</v>
      </c>
      <c r="BW49" s="114" t="s">
        <v>35</v>
      </c>
      <c r="BX49" s="114" t="s">
        <v>35</v>
      </c>
      <c r="BY49" s="114" t="s">
        <v>35</v>
      </c>
      <c r="BZ49" s="114" t="s">
        <v>35</v>
      </c>
      <c r="CA49" s="114" t="s">
        <v>35</v>
      </c>
      <c r="CB49" s="114" t="s">
        <v>35</v>
      </c>
      <c r="CC49" s="114" t="s">
        <v>35</v>
      </c>
      <c r="CD49" s="114" t="s">
        <v>35</v>
      </c>
      <c r="CE49" s="114" t="s">
        <v>35</v>
      </c>
      <c r="CF49" s="114" t="s">
        <v>35</v>
      </c>
      <c r="CG49" s="114" t="s">
        <v>35</v>
      </c>
      <c r="CH49" s="114" t="s">
        <v>35</v>
      </c>
      <c r="CI49" s="114" t="s">
        <v>35</v>
      </c>
      <c r="CJ49" s="115"/>
      <c r="CK49" s="115"/>
      <c r="CL49" s="115"/>
      <c r="CM49" s="115"/>
      <c r="CN49" s="115"/>
      <c r="CO49" s="115"/>
      <c r="CP49" s="115"/>
      <c r="CQ49" s="115"/>
      <c r="CR49" s="115"/>
      <c r="CS49" s="115"/>
      <c r="CT49" s="115"/>
      <c r="CU49" s="115"/>
      <c r="CV49" s="115"/>
      <c r="CW49" s="115"/>
      <c r="CX49" s="115"/>
      <c r="CY49" s="115"/>
      <c r="CZ49" s="115"/>
      <c r="DA49" s="115"/>
      <c r="DB49" s="115"/>
      <c r="DC49" s="115"/>
      <c r="DD49" s="115"/>
      <c r="DE49" s="115"/>
      <c r="DF49" s="115"/>
      <c r="DG49" s="115"/>
      <c r="DH49" s="115"/>
      <c r="DI49" s="115"/>
      <c r="DJ49" s="115"/>
    </row>
    <row r="50" spans="1:114" x14ac:dyDescent="0.25">
      <c r="A50" s="113">
        <v>1</v>
      </c>
      <c r="B50" s="110" t="s">
        <v>104</v>
      </c>
      <c r="C50" s="114" t="s">
        <v>35</v>
      </c>
      <c r="D50" s="114" t="s">
        <v>35</v>
      </c>
      <c r="E50" s="114" t="s">
        <v>35</v>
      </c>
      <c r="F50" s="114" t="s">
        <v>35</v>
      </c>
      <c r="G50" s="114" t="s">
        <v>35</v>
      </c>
      <c r="H50" s="114" t="s">
        <v>35</v>
      </c>
      <c r="I50" s="114" t="s">
        <v>35</v>
      </c>
      <c r="J50" s="114" t="s">
        <v>35</v>
      </c>
      <c r="K50" s="114" t="s">
        <v>35</v>
      </c>
      <c r="L50" s="114" t="s">
        <v>35</v>
      </c>
      <c r="M50" s="114" t="s">
        <v>35</v>
      </c>
      <c r="N50" s="114" t="s">
        <v>35</v>
      </c>
      <c r="O50" s="114" t="s">
        <v>35</v>
      </c>
      <c r="P50" s="114" t="s">
        <v>35</v>
      </c>
      <c r="Q50" s="114" t="s">
        <v>35</v>
      </c>
      <c r="R50" s="114" t="s">
        <v>35</v>
      </c>
      <c r="S50" s="114" t="s">
        <v>35</v>
      </c>
      <c r="T50" s="114" t="s">
        <v>35</v>
      </c>
      <c r="U50" s="114" t="s">
        <v>35</v>
      </c>
      <c r="V50" s="114" t="s">
        <v>35</v>
      </c>
      <c r="W50" s="114" t="s">
        <v>35</v>
      </c>
      <c r="X50" s="114" t="s">
        <v>35</v>
      </c>
      <c r="Y50" s="116" t="s">
        <v>36</v>
      </c>
      <c r="Z50" s="114" t="s">
        <v>36</v>
      </c>
      <c r="AA50" s="114" t="s">
        <v>36</v>
      </c>
      <c r="AB50" s="114" t="s">
        <v>36</v>
      </c>
      <c r="AC50" s="114" t="s">
        <v>36</v>
      </c>
      <c r="AD50" s="114" t="s">
        <v>36</v>
      </c>
      <c r="AE50" s="114" t="s">
        <v>36</v>
      </c>
      <c r="AF50" s="114" t="s">
        <v>36</v>
      </c>
      <c r="AG50" s="114" t="s">
        <v>36</v>
      </c>
      <c r="AH50" s="114" t="s">
        <v>36</v>
      </c>
      <c r="AI50" s="114" t="s">
        <v>36</v>
      </c>
      <c r="AJ50" s="114" t="s">
        <v>36</v>
      </c>
      <c r="AK50" s="114" t="s">
        <v>36</v>
      </c>
      <c r="AL50" s="114" t="s">
        <v>36</v>
      </c>
      <c r="AM50" s="114" t="s">
        <v>36</v>
      </c>
      <c r="AN50" s="114" t="s">
        <v>36</v>
      </c>
      <c r="AO50" s="114" t="s">
        <v>36</v>
      </c>
      <c r="AP50" s="114" t="s">
        <v>36</v>
      </c>
      <c r="AQ50" s="114" t="s">
        <v>36</v>
      </c>
      <c r="AR50" s="114" t="s">
        <v>36</v>
      </c>
      <c r="AS50" s="114" t="s">
        <v>36</v>
      </c>
      <c r="AT50" s="114" t="s">
        <v>36</v>
      </c>
      <c r="AU50" s="114" t="s">
        <v>36</v>
      </c>
      <c r="AV50" s="114" t="s">
        <v>36</v>
      </c>
      <c r="AW50" s="114" t="s">
        <v>36</v>
      </c>
      <c r="AX50" s="114" t="s">
        <v>36</v>
      </c>
      <c r="AY50" s="114" t="s">
        <v>36</v>
      </c>
      <c r="AZ50" s="114" t="s">
        <v>36</v>
      </c>
      <c r="BA50" s="114" t="s">
        <v>36</v>
      </c>
      <c r="BB50" s="114" t="s">
        <v>36</v>
      </c>
      <c r="BC50" s="114" t="s">
        <v>36</v>
      </c>
      <c r="BD50" s="114" t="s">
        <v>36</v>
      </c>
      <c r="BE50" s="114" t="s">
        <v>36</v>
      </c>
      <c r="BF50" s="114" t="s">
        <v>36</v>
      </c>
      <c r="BG50" s="114" t="s">
        <v>36</v>
      </c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Y50" s="115"/>
      <c r="CZ50" s="115"/>
      <c r="DA50" s="115"/>
      <c r="DB50" s="115"/>
      <c r="DC50" s="115"/>
      <c r="DD50" s="115"/>
      <c r="DE50" s="115"/>
      <c r="DF50" s="115"/>
      <c r="DG50" s="115"/>
      <c r="DH50" s="115"/>
      <c r="DI50" s="115"/>
      <c r="DJ50" s="115"/>
    </row>
    <row r="51" spans="1:114" x14ac:dyDescent="0.25">
      <c r="A51" s="113">
        <v>1</v>
      </c>
      <c r="B51" s="110" t="s">
        <v>105</v>
      </c>
      <c r="C51" s="114" t="s">
        <v>76</v>
      </c>
      <c r="D51" s="114" t="s">
        <v>76</v>
      </c>
      <c r="E51" s="114" t="s">
        <v>76</v>
      </c>
      <c r="F51" s="114" t="s">
        <v>76</v>
      </c>
      <c r="G51" s="114" t="s">
        <v>76</v>
      </c>
      <c r="H51" s="115"/>
      <c r="I51" s="115"/>
      <c r="J51" s="116" t="s">
        <v>35</v>
      </c>
      <c r="K51" s="114" t="s">
        <v>35</v>
      </c>
      <c r="L51" s="114" t="s">
        <v>35</v>
      </c>
      <c r="M51" s="114" t="s">
        <v>35</v>
      </c>
      <c r="N51" s="114" t="s">
        <v>35</v>
      </c>
      <c r="O51" s="114" t="s">
        <v>35</v>
      </c>
      <c r="P51" s="114" t="s">
        <v>35</v>
      </c>
      <c r="Q51" s="114" t="s">
        <v>35</v>
      </c>
      <c r="R51" s="114" t="s">
        <v>35</v>
      </c>
      <c r="S51" s="114" t="s">
        <v>35</v>
      </c>
      <c r="T51" s="114" t="s">
        <v>35</v>
      </c>
      <c r="U51" s="114" t="s">
        <v>35</v>
      </c>
      <c r="V51" s="114" t="s">
        <v>35</v>
      </c>
      <c r="W51" s="114" t="s">
        <v>35</v>
      </c>
      <c r="X51" s="114" t="s">
        <v>35</v>
      </c>
      <c r="Y51" s="114" t="s">
        <v>35</v>
      </c>
      <c r="Z51" s="114" t="s">
        <v>35</v>
      </c>
      <c r="AA51" s="114" t="s">
        <v>35</v>
      </c>
      <c r="AB51" s="114" t="s">
        <v>35</v>
      </c>
      <c r="AC51" s="114" t="s">
        <v>35</v>
      </c>
      <c r="AD51" s="114" t="s">
        <v>35</v>
      </c>
      <c r="AE51" s="114" t="s">
        <v>35</v>
      </c>
      <c r="AF51" s="114" t="s">
        <v>35</v>
      </c>
      <c r="AG51" s="114" t="s">
        <v>35</v>
      </c>
      <c r="AH51" s="114" t="s">
        <v>35</v>
      </c>
      <c r="AI51" s="114" t="s">
        <v>35</v>
      </c>
      <c r="AJ51" s="114" t="s">
        <v>35</v>
      </c>
      <c r="AK51" s="114" t="s">
        <v>35</v>
      </c>
      <c r="AL51" s="114" t="s">
        <v>35</v>
      </c>
      <c r="AM51" s="114" t="s">
        <v>35</v>
      </c>
      <c r="AN51" s="114" t="s">
        <v>35</v>
      </c>
      <c r="AO51" s="114" t="s">
        <v>35</v>
      </c>
      <c r="AP51" s="114" t="s">
        <v>35</v>
      </c>
      <c r="AQ51" s="114" t="s">
        <v>35</v>
      </c>
      <c r="AR51" s="114" t="s">
        <v>35</v>
      </c>
      <c r="AS51" s="114" t="s">
        <v>35</v>
      </c>
      <c r="AT51" s="114" t="s">
        <v>35</v>
      </c>
      <c r="AU51" s="114" t="s">
        <v>35</v>
      </c>
      <c r="AV51" s="114" t="s">
        <v>35</v>
      </c>
      <c r="AW51" s="114" t="s">
        <v>35</v>
      </c>
      <c r="AX51" s="114" t="s">
        <v>35</v>
      </c>
      <c r="AY51" s="114" t="s">
        <v>35</v>
      </c>
      <c r="AZ51" s="114" t="s">
        <v>35</v>
      </c>
      <c r="BA51" s="114" t="s">
        <v>35</v>
      </c>
      <c r="BB51" s="114" t="s">
        <v>35</v>
      </c>
      <c r="BC51" s="114" t="s">
        <v>35</v>
      </c>
      <c r="BD51" s="114" t="s">
        <v>35</v>
      </c>
      <c r="BE51" s="114" t="s">
        <v>35</v>
      </c>
      <c r="BF51" s="114" t="s">
        <v>35</v>
      </c>
      <c r="BG51" s="114" t="s">
        <v>35</v>
      </c>
      <c r="BH51" s="114" t="s">
        <v>35</v>
      </c>
      <c r="BI51" s="114" t="s">
        <v>35</v>
      </c>
      <c r="BJ51" s="114" t="s">
        <v>35</v>
      </c>
      <c r="BK51" s="114" t="s">
        <v>35</v>
      </c>
      <c r="BL51" s="114" t="s">
        <v>35</v>
      </c>
      <c r="BM51" s="114" t="s">
        <v>35</v>
      </c>
      <c r="BN51" s="114" t="s">
        <v>35</v>
      </c>
      <c r="BO51" s="114" t="s">
        <v>35</v>
      </c>
      <c r="BP51" s="114" t="s">
        <v>35</v>
      </c>
      <c r="BQ51" s="114" t="s">
        <v>35</v>
      </c>
      <c r="BR51" s="114" t="s">
        <v>35</v>
      </c>
      <c r="BS51" s="114" t="s">
        <v>35</v>
      </c>
      <c r="BT51" s="114" t="s">
        <v>35</v>
      </c>
      <c r="BU51" s="114" t="s">
        <v>35</v>
      </c>
      <c r="BV51" s="114" t="s">
        <v>35</v>
      </c>
      <c r="BW51" s="114" t="s">
        <v>35</v>
      </c>
      <c r="BX51" s="114" t="s">
        <v>35</v>
      </c>
      <c r="BY51" s="114" t="s">
        <v>35</v>
      </c>
      <c r="BZ51" s="114" t="s">
        <v>35</v>
      </c>
      <c r="CA51" s="114" t="s">
        <v>35</v>
      </c>
      <c r="CB51" s="114" t="s">
        <v>35</v>
      </c>
      <c r="CC51" s="114" t="s">
        <v>35</v>
      </c>
      <c r="CD51" s="114" t="s">
        <v>35</v>
      </c>
      <c r="CE51" s="114" t="s">
        <v>35</v>
      </c>
      <c r="CF51" s="114" t="s">
        <v>35</v>
      </c>
      <c r="CG51" s="114" t="s">
        <v>35</v>
      </c>
      <c r="CH51" s="114" t="s">
        <v>35</v>
      </c>
      <c r="CI51" s="114" t="s">
        <v>35</v>
      </c>
      <c r="CJ51" s="114" t="s">
        <v>35</v>
      </c>
      <c r="CK51" s="114" t="s">
        <v>35</v>
      </c>
      <c r="CL51" s="114" t="s">
        <v>35</v>
      </c>
      <c r="CM51" s="114" t="s">
        <v>35</v>
      </c>
      <c r="CN51" s="114" t="s">
        <v>35</v>
      </c>
      <c r="CO51" s="114" t="s">
        <v>35</v>
      </c>
      <c r="CP51" s="114" t="s">
        <v>35</v>
      </c>
      <c r="CQ51" s="114" t="s">
        <v>35</v>
      </c>
      <c r="CR51" s="114" t="s">
        <v>35</v>
      </c>
      <c r="CS51" s="114" t="s">
        <v>35</v>
      </c>
      <c r="CT51" s="114" t="s">
        <v>35</v>
      </c>
      <c r="CU51" s="114" t="s">
        <v>35</v>
      </c>
      <c r="CV51" s="114" t="s">
        <v>35</v>
      </c>
      <c r="CW51" s="114" t="s">
        <v>35</v>
      </c>
      <c r="CX51" s="114" t="s">
        <v>35</v>
      </c>
      <c r="CY51" s="114" t="s">
        <v>35</v>
      </c>
      <c r="CZ51" s="114" t="s">
        <v>35</v>
      </c>
      <c r="DA51" s="114" t="s">
        <v>35</v>
      </c>
      <c r="DB51" s="114" t="s">
        <v>35</v>
      </c>
      <c r="DC51" s="114" t="s">
        <v>35</v>
      </c>
      <c r="DD51" s="114" t="s">
        <v>35</v>
      </c>
      <c r="DE51" s="114" t="s">
        <v>35</v>
      </c>
      <c r="DF51" s="114" t="s">
        <v>35</v>
      </c>
      <c r="DG51" s="114" t="s">
        <v>35</v>
      </c>
      <c r="DH51" s="114" t="s">
        <v>35</v>
      </c>
      <c r="DI51" s="114" t="s">
        <v>35</v>
      </c>
      <c r="DJ51" s="114" t="s">
        <v>35</v>
      </c>
    </row>
    <row r="52" spans="1:114" x14ac:dyDescent="0.25">
      <c r="A52" s="113">
        <v>1</v>
      </c>
      <c r="B52" s="110" t="s">
        <v>106</v>
      </c>
      <c r="C52" s="114" t="s">
        <v>36</v>
      </c>
      <c r="D52" s="114" t="s">
        <v>36</v>
      </c>
      <c r="E52" s="114" t="s">
        <v>36</v>
      </c>
      <c r="F52" s="114" t="s">
        <v>36</v>
      </c>
      <c r="G52" s="114" t="s">
        <v>36</v>
      </c>
      <c r="H52" s="114" t="s">
        <v>36</v>
      </c>
      <c r="I52" s="114" t="s">
        <v>36</v>
      </c>
      <c r="J52" s="114" t="s">
        <v>36</v>
      </c>
      <c r="K52" s="116" t="s">
        <v>36</v>
      </c>
      <c r="L52" s="114" t="s">
        <v>36</v>
      </c>
      <c r="M52" s="114" t="s">
        <v>36</v>
      </c>
      <c r="N52" s="114" t="s">
        <v>36</v>
      </c>
      <c r="O52" s="114" t="s">
        <v>36</v>
      </c>
      <c r="P52" s="114" t="s">
        <v>36</v>
      </c>
      <c r="Q52" s="114" t="s">
        <v>36</v>
      </c>
      <c r="R52" s="114" t="s">
        <v>36</v>
      </c>
      <c r="S52" s="114" t="s">
        <v>36</v>
      </c>
      <c r="T52" s="114" t="s">
        <v>36</v>
      </c>
      <c r="U52" s="114" t="s">
        <v>36</v>
      </c>
      <c r="V52" s="114" t="s">
        <v>36</v>
      </c>
      <c r="W52" s="114" t="s">
        <v>36</v>
      </c>
      <c r="X52" s="114" t="s">
        <v>36</v>
      </c>
      <c r="Y52" s="114" t="s">
        <v>36</v>
      </c>
      <c r="Z52" s="114" t="s">
        <v>36</v>
      </c>
      <c r="AA52" s="114" t="s">
        <v>36</v>
      </c>
      <c r="AB52" s="114" t="s">
        <v>36</v>
      </c>
      <c r="AC52" s="114" t="s">
        <v>36</v>
      </c>
      <c r="AD52" s="114" t="s">
        <v>36</v>
      </c>
      <c r="AE52" s="114" t="s">
        <v>36</v>
      </c>
      <c r="AF52" s="114" t="s">
        <v>36</v>
      </c>
      <c r="AG52" s="114" t="s">
        <v>36</v>
      </c>
      <c r="AH52" s="114" t="s">
        <v>36</v>
      </c>
      <c r="AI52" s="114" t="s">
        <v>36</v>
      </c>
      <c r="AJ52" s="114" t="s">
        <v>36</v>
      </c>
      <c r="AK52" s="114" t="s">
        <v>36</v>
      </c>
      <c r="AL52" s="114" t="s">
        <v>36</v>
      </c>
      <c r="AM52" s="116" t="s">
        <v>76</v>
      </c>
      <c r="AN52" s="114" t="s">
        <v>76</v>
      </c>
      <c r="AO52" s="114" t="s">
        <v>76</v>
      </c>
      <c r="AP52" s="114" t="s">
        <v>76</v>
      </c>
      <c r="AQ52" s="114" t="s">
        <v>76</v>
      </c>
      <c r="AR52" s="114" t="s">
        <v>76</v>
      </c>
      <c r="AS52" s="114" t="s">
        <v>76</v>
      </c>
      <c r="AT52" s="114" t="s">
        <v>76</v>
      </c>
      <c r="AU52" s="114" t="s">
        <v>76</v>
      </c>
      <c r="AV52" s="114" t="s">
        <v>76</v>
      </c>
      <c r="AW52" s="114" t="s">
        <v>76</v>
      </c>
      <c r="AX52" s="114" t="s">
        <v>76</v>
      </c>
      <c r="AY52" s="114" t="s">
        <v>76</v>
      </c>
      <c r="AZ52" s="114" t="s">
        <v>76</v>
      </c>
      <c r="BA52" s="114" t="s">
        <v>76</v>
      </c>
      <c r="BB52" s="114" t="s">
        <v>76</v>
      </c>
      <c r="BC52" s="114" t="s">
        <v>76</v>
      </c>
      <c r="BD52" s="114" t="s">
        <v>76</v>
      </c>
      <c r="BE52" s="114" t="s">
        <v>76</v>
      </c>
      <c r="BF52" s="114" t="s">
        <v>76</v>
      </c>
      <c r="BG52" s="114" t="s">
        <v>76</v>
      </c>
      <c r="BH52" s="114" t="s">
        <v>76</v>
      </c>
      <c r="BI52" s="114" t="s">
        <v>76</v>
      </c>
      <c r="BJ52" s="114" t="s">
        <v>76</v>
      </c>
      <c r="BK52" s="114" t="s">
        <v>76</v>
      </c>
      <c r="BL52" s="114" t="s">
        <v>76</v>
      </c>
      <c r="BM52" s="114" t="s">
        <v>76</v>
      </c>
      <c r="BN52" s="115"/>
      <c r="BO52" s="116" t="s">
        <v>76</v>
      </c>
      <c r="BP52" s="114" t="s">
        <v>76</v>
      </c>
      <c r="BQ52" s="114" t="s">
        <v>76</v>
      </c>
      <c r="BR52" s="114" t="s">
        <v>76</v>
      </c>
      <c r="BS52" s="114" t="s">
        <v>76</v>
      </c>
      <c r="BT52" s="114" t="s">
        <v>76</v>
      </c>
      <c r="BU52" s="114" t="s">
        <v>76</v>
      </c>
      <c r="BV52" s="114" t="s">
        <v>76</v>
      </c>
      <c r="BW52" s="114" t="s">
        <v>76</v>
      </c>
      <c r="BX52" s="114" t="s">
        <v>76</v>
      </c>
      <c r="BY52" s="114" t="s">
        <v>76</v>
      </c>
      <c r="BZ52" s="114" t="s">
        <v>76</v>
      </c>
      <c r="CA52" s="114" t="s">
        <v>76</v>
      </c>
      <c r="CB52" s="114" t="s">
        <v>76</v>
      </c>
      <c r="CC52" s="114" t="s">
        <v>76</v>
      </c>
      <c r="CD52" s="114" t="s">
        <v>76</v>
      </c>
      <c r="CE52" s="114" t="s">
        <v>76</v>
      </c>
      <c r="CF52" s="114" t="s">
        <v>76</v>
      </c>
      <c r="CG52" s="114" t="s">
        <v>76</v>
      </c>
      <c r="CH52" s="114" t="s">
        <v>76</v>
      </c>
      <c r="CI52" s="114" t="s">
        <v>76</v>
      </c>
      <c r="CJ52" s="114" t="s">
        <v>76</v>
      </c>
      <c r="CK52" s="114" t="s">
        <v>76</v>
      </c>
      <c r="CL52" s="114" t="s">
        <v>76</v>
      </c>
      <c r="CM52" s="114" t="s">
        <v>76</v>
      </c>
      <c r="CN52" s="114" t="s">
        <v>76</v>
      </c>
      <c r="CO52" s="114" t="s">
        <v>76</v>
      </c>
      <c r="CP52" s="115"/>
      <c r="CQ52" s="115"/>
      <c r="CR52" s="115"/>
      <c r="CS52" s="115"/>
      <c r="CT52" s="115"/>
      <c r="CU52" s="115"/>
      <c r="CV52" s="115"/>
      <c r="CW52" s="115"/>
      <c r="CX52" s="115"/>
      <c r="CY52" s="115"/>
      <c r="CZ52" s="115"/>
      <c r="DA52" s="115"/>
      <c r="DB52" s="115"/>
      <c r="DC52" s="115"/>
      <c r="DD52" s="115"/>
      <c r="DE52" s="115"/>
      <c r="DF52" s="115"/>
      <c r="DG52" s="115"/>
      <c r="DH52" s="115"/>
      <c r="DI52" s="115"/>
      <c r="DJ52" s="115"/>
    </row>
    <row r="53" spans="1:114" x14ac:dyDescent="0.25">
      <c r="A53" s="113">
        <v>1</v>
      </c>
      <c r="B53" s="110" t="s">
        <v>107</v>
      </c>
      <c r="C53" s="117"/>
      <c r="D53" s="117"/>
      <c r="E53" s="117"/>
      <c r="F53" s="117"/>
      <c r="G53" s="117"/>
      <c r="H53" s="117"/>
      <c r="I53" s="117"/>
      <c r="J53" s="117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5"/>
      <c r="BT53" s="115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5"/>
      <c r="CY53" s="115"/>
      <c r="CZ53" s="115"/>
      <c r="DA53" s="115"/>
      <c r="DB53" s="115"/>
      <c r="DC53" s="115"/>
      <c r="DD53" s="115"/>
      <c r="DE53" s="115"/>
      <c r="DF53" s="115"/>
      <c r="DG53" s="115"/>
      <c r="DH53" s="115"/>
      <c r="DI53" s="115"/>
      <c r="DJ53" s="115"/>
    </row>
    <row r="54" spans="1:114" x14ac:dyDescent="0.25">
      <c r="A54" s="113">
        <v>1</v>
      </c>
      <c r="B54" s="110" t="s">
        <v>108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9" t="s">
        <v>36</v>
      </c>
      <c r="S54" s="114" t="s">
        <v>36</v>
      </c>
      <c r="T54" s="114" t="s">
        <v>36</v>
      </c>
      <c r="U54" s="114" t="s">
        <v>36</v>
      </c>
      <c r="V54" s="114" t="s">
        <v>36</v>
      </c>
      <c r="W54" s="114" t="s">
        <v>36</v>
      </c>
      <c r="X54" s="114" t="s">
        <v>36</v>
      </c>
      <c r="Y54" s="114" t="s">
        <v>36</v>
      </c>
      <c r="Z54" s="114" t="s">
        <v>36</v>
      </c>
      <c r="AA54" s="114" t="s">
        <v>36</v>
      </c>
      <c r="AB54" s="114" t="s">
        <v>36</v>
      </c>
      <c r="AC54" s="114" t="s">
        <v>36</v>
      </c>
      <c r="AD54" s="114" t="s">
        <v>36</v>
      </c>
      <c r="AE54" s="114" t="s">
        <v>36</v>
      </c>
      <c r="AF54" s="114" t="s">
        <v>36</v>
      </c>
      <c r="AG54" s="114" t="s">
        <v>36</v>
      </c>
      <c r="AH54" s="114" t="s">
        <v>36</v>
      </c>
      <c r="AI54" s="114" t="s">
        <v>36</v>
      </c>
      <c r="AJ54" s="114" t="s">
        <v>36</v>
      </c>
      <c r="AK54" s="114" t="s">
        <v>36</v>
      </c>
      <c r="AL54" s="114" t="s">
        <v>36</v>
      </c>
      <c r="AM54" s="114" t="s">
        <v>36</v>
      </c>
      <c r="AN54" s="114" t="s">
        <v>36</v>
      </c>
      <c r="AO54" s="114" t="s">
        <v>36</v>
      </c>
      <c r="AP54" s="114" t="s">
        <v>36</v>
      </c>
      <c r="AQ54" s="114" t="s">
        <v>36</v>
      </c>
      <c r="AR54" s="114" t="s">
        <v>36</v>
      </c>
      <c r="AS54" s="114" t="s">
        <v>36</v>
      </c>
      <c r="AT54" s="114" t="s">
        <v>36</v>
      </c>
      <c r="AU54" s="114" t="s">
        <v>36</v>
      </c>
      <c r="AV54" s="114" t="s">
        <v>36</v>
      </c>
      <c r="AW54" s="114" t="s">
        <v>36</v>
      </c>
      <c r="AX54" s="114" t="s">
        <v>36</v>
      </c>
      <c r="AY54" s="114" t="s">
        <v>36</v>
      </c>
      <c r="AZ54" s="114" t="s">
        <v>36</v>
      </c>
      <c r="BA54" s="114" t="s">
        <v>36</v>
      </c>
      <c r="BB54" s="114" t="s">
        <v>36</v>
      </c>
      <c r="BC54" s="114" t="s">
        <v>36</v>
      </c>
      <c r="BD54" s="114" t="s">
        <v>36</v>
      </c>
      <c r="BE54" s="114" t="s">
        <v>36</v>
      </c>
      <c r="BF54" s="114" t="s">
        <v>36</v>
      </c>
      <c r="BG54" s="114" t="s">
        <v>36</v>
      </c>
      <c r="BH54" s="114" t="s">
        <v>36</v>
      </c>
      <c r="BI54" s="114" t="s">
        <v>36</v>
      </c>
      <c r="BJ54" s="114" t="s">
        <v>36</v>
      </c>
      <c r="BK54" s="114" t="s">
        <v>36</v>
      </c>
      <c r="BL54" s="114" t="s">
        <v>36</v>
      </c>
      <c r="BM54" s="114" t="s">
        <v>36</v>
      </c>
      <c r="BN54" s="114" t="s">
        <v>36</v>
      </c>
      <c r="BO54" s="114" t="s">
        <v>36</v>
      </c>
      <c r="BP54" s="114" t="s">
        <v>36</v>
      </c>
      <c r="BQ54" s="114" t="s">
        <v>36</v>
      </c>
      <c r="BR54" s="114" t="s">
        <v>36</v>
      </c>
      <c r="BS54" s="114" t="s">
        <v>36</v>
      </c>
      <c r="BT54" s="114" t="s">
        <v>36</v>
      </c>
      <c r="BU54" s="114" t="s">
        <v>36</v>
      </c>
      <c r="BV54" s="114" t="s">
        <v>36</v>
      </c>
      <c r="BW54" s="114" t="s">
        <v>36</v>
      </c>
      <c r="BX54" s="114" t="s">
        <v>36</v>
      </c>
      <c r="BY54" s="114" t="s">
        <v>36</v>
      </c>
      <c r="BZ54" s="114" t="s">
        <v>36</v>
      </c>
      <c r="CA54" s="114" t="s">
        <v>36</v>
      </c>
      <c r="CB54" s="114" t="s">
        <v>36</v>
      </c>
      <c r="CC54" s="114" t="s">
        <v>36</v>
      </c>
      <c r="CD54" s="114" t="s">
        <v>36</v>
      </c>
      <c r="CE54" s="114" t="s">
        <v>36</v>
      </c>
      <c r="CF54" s="114" t="s">
        <v>36</v>
      </c>
      <c r="CG54" s="114" t="s">
        <v>36</v>
      </c>
      <c r="CH54" s="114" t="s">
        <v>36</v>
      </c>
      <c r="CI54" s="114" t="s">
        <v>36</v>
      </c>
      <c r="CJ54" s="114" t="s">
        <v>36</v>
      </c>
      <c r="CK54" s="114" t="s">
        <v>36</v>
      </c>
      <c r="CL54" s="114" t="s">
        <v>36</v>
      </c>
      <c r="CM54" s="114" t="s">
        <v>36</v>
      </c>
      <c r="CN54" s="114" t="s">
        <v>36</v>
      </c>
      <c r="CO54" s="114" t="s">
        <v>36</v>
      </c>
      <c r="CP54" s="114" t="s">
        <v>36</v>
      </c>
      <c r="CQ54" s="114" t="s">
        <v>36</v>
      </c>
      <c r="CR54" s="114" t="s">
        <v>36</v>
      </c>
      <c r="CS54" s="114" t="s">
        <v>36</v>
      </c>
      <c r="CT54" s="114" t="s">
        <v>36</v>
      </c>
      <c r="CU54" s="114" t="s">
        <v>36</v>
      </c>
      <c r="CV54" s="114" t="s">
        <v>36</v>
      </c>
      <c r="CW54" s="115"/>
      <c r="CX54" s="115"/>
      <c r="CY54" s="115"/>
      <c r="CZ54" s="115"/>
      <c r="DA54" s="115"/>
      <c r="DB54" s="115"/>
      <c r="DC54" s="115"/>
      <c r="DD54" s="115"/>
      <c r="DE54" s="115"/>
      <c r="DF54" s="115"/>
      <c r="DG54" s="115"/>
      <c r="DH54" s="115"/>
      <c r="DI54" s="115"/>
      <c r="DJ54" s="115"/>
    </row>
    <row r="55" spans="1:114" x14ac:dyDescent="0.25">
      <c r="A55" s="113">
        <v>1</v>
      </c>
      <c r="B55" s="110" t="s">
        <v>109</v>
      </c>
      <c r="C55" s="115"/>
      <c r="D55" s="115"/>
      <c r="E55" s="115"/>
      <c r="F55" s="115"/>
      <c r="G55" s="115"/>
      <c r="H55" s="115"/>
      <c r="I55" s="115"/>
      <c r="J55" s="115"/>
      <c r="K55" s="116" t="s">
        <v>35</v>
      </c>
      <c r="L55" s="114" t="s">
        <v>35</v>
      </c>
      <c r="M55" s="114" t="s">
        <v>35</v>
      </c>
      <c r="N55" s="114" t="s">
        <v>35</v>
      </c>
      <c r="O55" s="114" t="s">
        <v>35</v>
      </c>
      <c r="P55" s="114" t="s">
        <v>35</v>
      </c>
      <c r="Q55" s="114" t="s">
        <v>35</v>
      </c>
      <c r="R55" s="114" t="s">
        <v>35</v>
      </c>
      <c r="S55" s="114" t="s">
        <v>35</v>
      </c>
      <c r="T55" s="114" t="s">
        <v>35</v>
      </c>
      <c r="U55" s="114" t="s">
        <v>35</v>
      </c>
      <c r="V55" s="114" t="s">
        <v>35</v>
      </c>
      <c r="W55" s="114" t="s">
        <v>35</v>
      </c>
      <c r="X55" s="114" t="s">
        <v>35</v>
      </c>
      <c r="Y55" s="114" t="s">
        <v>35</v>
      </c>
      <c r="Z55" s="114" t="s">
        <v>35</v>
      </c>
      <c r="AA55" s="114" t="s">
        <v>35</v>
      </c>
      <c r="AB55" s="114" t="s">
        <v>35</v>
      </c>
      <c r="AC55" s="114" t="s">
        <v>35</v>
      </c>
      <c r="AD55" s="114" t="s">
        <v>35</v>
      </c>
      <c r="AE55" s="114" t="s">
        <v>35</v>
      </c>
      <c r="AF55" s="114" t="s">
        <v>35</v>
      </c>
      <c r="AG55" s="114" t="s">
        <v>35</v>
      </c>
      <c r="AH55" s="114" t="s">
        <v>35</v>
      </c>
      <c r="AI55" s="114" t="s">
        <v>35</v>
      </c>
      <c r="AJ55" s="114" t="s">
        <v>35</v>
      </c>
      <c r="AK55" s="114" t="s">
        <v>35</v>
      </c>
      <c r="AL55" s="114" t="s">
        <v>35</v>
      </c>
      <c r="AM55" s="114" t="s">
        <v>35</v>
      </c>
      <c r="AN55" s="114" t="s">
        <v>35</v>
      </c>
      <c r="AO55" s="114" t="s">
        <v>35</v>
      </c>
      <c r="AP55" s="114" t="s">
        <v>35</v>
      </c>
      <c r="AQ55" s="114" t="s">
        <v>35</v>
      </c>
      <c r="AR55" s="114" t="s">
        <v>35</v>
      </c>
      <c r="AS55" s="114" t="s">
        <v>35</v>
      </c>
      <c r="AT55" s="114" t="s">
        <v>35</v>
      </c>
      <c r="AU55" s="114" t="s">
        <v>35</v>
      </c>
      <c r="AV55" s="114" t="s">
        <v>35</v>
      </c>
      <c r="AW55" s="114" t="s">
        <v>35</v>
      </c>
      <c r="AX55" s="114" t="s">
        <v>35</v>
      </c>
      <c r="AY55" s="114" t="s">
        <v>35</v>
      </c>
      <c r="AZ55" s="114" t="s">
        <v>35</v>
      </c>
      <c r="BA55" s="114" t="s">
        <v>35</v>
      </c>
      <c r="BB55" s="114" t="s">
        <v>35</v>
      </c>
      <c r="BC55" s="114" t="s">
        <v>35</v>
      </c>
      <c r="BD55" s="114" t="s">
        <v>35</v>
      </c>
      <c r="BE55" s="114" t="s">
        <v>35</v>
      </c>
      <c r="BF55" s="114" t="s">
        <v>35</v>
      </c>
      <c r="BG55" s="114" t="s">
        <v>35</v>
      </c>
      <c r="BH55" s="114" t="s">
        <v>35</v>
      </c>
      <c r="BI55" s="114" t="s">
        <v>35</v>
      </c>
      <c r="BJ55" s="114" t="s">
        <v>35</v>
      </c>
      <c r="BK55" s="114" t="s">
        <v>35</v>
      </c>
      <c r="BL55" s="114" t="s">
        <v>35</v>
      </c>
      <c r="BM55" s="114" t="s">
        <v>35</v>
      </c>
      <c r="BN55" s="114" t="s">
        <v>35</v>
      </c>
      <c r="BO55" s="114" t="s">
        <v>35</v>
      </c>
      <c r="BP55" s="114" t="s">
        <v>35</v>
      </c>
      <c r="BQ55" s="114" t="s">
        <v>35</v>
      </c>
      <c r="BR55" s="114" t="s">
        <v>35</v>
      </c>
      <c r="BS55" s="114" t="s">
        <v>35</v>
      </c>
      <c r="BT55" s="114" t="s">
        <v>35</v>
      </c>
      <c r="BU55" s="114" t="s">
        <v>35</v>
      </c>
      <c r="BV55" s="114" t="s">
        <v>35</v>
      </c>
      <c r="BW55" s="114" t="s">
        <v>35</v>
      </c>
      <c r="BX55" s="114" t="s">
        <v>35</v>
      </c>
      <c r="BY55" s="114" t="s">
        <v>35</v>
      </c>
      <c r="BZ55" s="114" t="s">
        <v>35</v>
      </c>
      <c r="CA55" s="114" t="s">
        <v>35</v>
      </c>
      <c r="CB55" s="114" t="s">
        <v>35</v>
      </c>
      <c r="CC55" s="114" t="s">
        <v>35</v>
      </c>
      <c r="CD55" s="114" t="s">
        <v>35</v>
      </c>
      <c r="CE55" s="114" t="s">
        <v>35</v>
      </c>
      <c r="CF55" s="114" t="s">
        <v>35</v>
      </c>
      <c r="CG55" s="114" t="s">
        <v>35</v>
      </c>
      <c r="CH55" s="114" t="s">
        <v>35</v>
      </c>
      <c r="CI55" s="114" t="s">
        <v>35</v>
      </c>
      <c r="CJ55" s="114" t="s">
        <v>35</v>
      </c>
      <c r="CK55" s="114" t="s">
        <v>35</v>
      </c>
      <c r="CL55" s="114" t="s">
        <v>35</v>
      </c>
      <c r="CM55" s="114" t="s">
        <v>35</v>
      </c>
      <c r="CN55" s="114" t="s">
        <v>35</v>
      </c>
      <c r="CO55" s="114" t="s">
        <v>35</v>
      </c>
      <c r="CP55" s="114" t="s">
        <v>35</v>
      </c>
      <c r="CQ55" s="114" t="s">
        <v>35</v>
      </c>
      <c r="CR55" s="114" t="s">
        <v>35</v>
      </c>
      <c r="CS55" s="114" t="s">
        <v>35</v>
      </c>
      <c r="CT55" s="114" t="s">
        <v>35</v>
      </c>
      <c r="CU55" s="114" t="s">
        <v>35</v>
      </c>
      <c r="CV55" s="114" t="s">
        <v>35</v>
      </c>
      <c r="CW55" s="114" t="s">
        <v>35</v>
      </c>
      <c r="CX55" s="114" t="s">
        <v>35</v>
      </c>
      <c r="CY55" s="114" t="s">
        <v>35</v>
      </c>
      <c r="CZ55" s="114" t="s">
        <v>35</v>
      </c>
      <c r="DA55" s="114" t="s">
        <v>35</v>
      </c>
      <c r="DB55" s="114" t="s">
        <v>35</v>
      </c>
      <c r="DC55" s="114" t="s">
        <v>35</v>
      </c>
      <c r="DD55" s="114" t="s">
        <v>35</v>
      </c>
      <c r="DE55" s="114" t="s">
        <v>35</v>
      </c>
      <c r="DF55" s="114" t="s">
        <v>35</v>
      </c>
      <c r="DG55" s="114" t="s">
        <v>35</v>
      </c>
      <c r="DH55" s="114" t="s">
        <v>35</v>
      </c>
      <c r="DI55" s="114" t="s">
        <v>35</v>
      </c>
      <c r="DJ55" s="114" t="s">
        <v>35</v>
      </c>
    </row>
    <row r="56" spans="1:114" x14ac:dyDescent="0.25">
      <c r="A56" s="113">
        <v>1</v>
      </c>
      <c r="B56" s="110" t="s">
        <v>110</v>
      </c>
      <c r="C56" s="114" t="s">
        <v>36</v>
      </c>
      <c r="D56" s="114" t="s">
        <v>36</v>
      </c>
      <c r="E56" s="114" t="s">
        <v>36</v>
      </c>
      <c r="F56" s="114" t="s">
        <v>36</v>
      </c>
      <c r="G56" s="114" t="s">
        <v>36</v>
      </c>
      <c r="H56" s="114" t="s">
        <v>36</v>
      </c>
      <c r="I56" s="114" t="s">
        <v>36</v>
      </c>
      <c r="J56" s="114" t="s">
        <v>36</v>
      </c>
      <c r="K56" s="114" t="s">
        <v>36</v>
      </c>
      <c r="L56" s="114" t="s">
        <v>36</v>
      </c>
      <c r="M56" s="114" t="s">
        <v>36</v>
      </c>
      <c r="N56" s="114" t="s">
        <v>36</v>
      </c>
      <c r="O56" s="114" t="s">
        <v>36</v>
      </c>
      <c r="P56" s="114" t="s">
        <v>36</v>
      </c>
      <c r="Q56" s="114" t="s">
        <v>36</v>
      </c>
      <c r="R56" s="114" t="s">
        <v>36</v>
      </c>
      <c r="S56" s="114" t="s">
        <v>36</v>
      </c>
      <c r="T56" s="114" t="s">
        <v>36</v>
      </c>
      <c r="U56" s="114" t="s">
        <v>36</v>
      </c>
      <c r="V56" s="114" t="s">
        <v>36</v>
      </c>
      <c r="W56" s="114" t="s">
        <v>36</v>
      </c>
      <c r="X56" s="114" t="s">
        <v>36</v>
      </c>
      <c r="Y56" s="114" t="s">
        <v>36</v>
      </c>
      <c r="Z56" s="114" t="s">
        <v>36</v>
      </c>
      <c r="AA56" s="114" t="s">
        <v>36</v>
      </c>
      <c r="AB56" s="114" t="s">
        <v>36</v>
      </c>
      <c r="AC56" s="114" t="s">
        <v>36</v>
      </c>
      <c r="AD56" s="114" t="s">
        <v>36</v>
      </c>
      <c r="AE56" s="114" t="s">
        <v>36</v>
      </c>
      <c r="AF56" s="116" t="s">
        <v>35</v>
      </c>
      <c r="AG56" s="114" t="s">
        <v>35</v>
      </c>
      <c r="AH56" s="114" t="s">
        <v>35</v>
      </c>
      <c r="AI56" s="114" t="s">
        <v>35</v>
      </c>
      <c r="AJ56" s="114" t="s">
        <v>35</v>
      </c>
      <c r="AK56" s="114" t="s">
        <v>35</v>
      </c>
      <c r="AL56" s="114" t="s">
        <v>35</v>
      </c>
      <c r="AM56" s="114" t="s">
        <v>35</v>
      </c>
      <c r="AN56" s="114" t="s">
        <v>35</v>
      </c>
      <c r="AO56" s="114" t="s">
        <v>35</v>
      </c>
      <c r="AP56" s="114" t="s">
        <v>35</v>
      </c>
      <c r="AQ56" s="114" t="s">
        <v>35</v>
      </c>
      <c r="AR56" s="114" t="s">
        <v>35</v>
      </c>
      <c r="AS56" s="114" t="s">
        <v>35</v>
      </c>
      <c r="AT56" s="114" t="s">
        <v>35</v>
      </c>
      <c r="AU56" s="114" t="s">
        <v>35</v>
      </c>
      <c r="AV56" s="114" t="s">
        <v>35</v>
      </c>
      <c r="AW56" s="114" t="s">
        <v>35</v>
      </c>
      <c r="AX56" s="114" t="s">
        <v>35</v>
      </c>
      <c r="AY56" s="114" t="s">
        <v>35</v>
      </c>
      <c r="AZ56" s="114" t="s">
        <v>35</v>
      </c>
      <c r="BA56" s="114" t="s">
        <v>35</v>
      </c>
      <c r="BB56" s="114" t="s">
        <v>35</v>
      </c>
      <c r="BC56" s="114" t="s">
        <v>35</v>
      </c>
      <c r="BD56" s="114" t="s">
        <v>35</v>
      </c>
      <c r="BE56" s="114" t="s">
        <v>35</v>
      </c>
      <c r="BF56" s="114" t="s">
        <v>35</v>
      </c>
      <c r="BG56" s="114" t="s">
        <v>35</v>
      </c>
      <c r="BH56" s="114" t="s">
        <v>35</v>
      </c>
      <c r="BI56" s="114" t="s">
        <v>35</v>
      </c>
      <c r="BJ56" s="114" t="s">
        <v>35</v>
      </c>
      <c r="BK56" s="114" t="s">
        <v>35</v>
      </c>
      <c r="BL56" s="114" t="s">
        <v>35</v>
      </c>
      <c r="BM56" s="114" t="s">
        <v>35</v>
      </c>
      <c r="BN56" s="114" t="s">
        <v>35</v>
      </c>
      <c r="BO56" s="114" t="s">
        <v>35</v>
      </c>
      <c r="BP56" s="114" t="s">
        <v>35</v>
      </c>
      <c r="BQ56" s="114" t="s">
        <v>35</v>
      </c>
      <c r="BR56" s="114" t="s">
        <v>35</v>
      </c>
      <c r="BS56" s="114" t="s">
        <v>35</v>
      </c>
      <c r="BT56" s="114" t="s">
        <v>35</v>
      </c>
      <c r="BU56" s="114" t="s">
        <v>35</v>
      </c>
      <c r="BV56" s="114" t="s">
        <v>35</v>
      </c>
      <c r="BW56" s="114" t="s">
        <v>35</v>
      </c>
      <c r="BX56" s="114" t="s">
        <v>35</v>
      </c>
      <c r="BY56" s="114" t="s">
        <v>35</v>
      </c>
      <c r="BZ56" s="114" t="s">
        <v>35</v>
      </c>
      <c r="CA56" s="114" t="s">
        <v>35</v>
      </c>
      <c r="CB56" s="114" t="s">
        <v>35</v>
      </c>
      <c r="CC56" s="114" t="s">
        <v>35</v>
      </c>
      <c r="CD56" s="114" t="s">
        <v>35</v>
      </c>
      <c r="CE56" s="114" t="s">
        <v>35</v>
      </c>
      <c r="CF56" s="114" t="s">
        <v>35</v>
      </c>
      <c r="CG56" s="114" t="s">
        <v>35</v>
      </c>
      <c r="CH56" s="114" t="s">
        <v>35</v>
      </c>
      <c r="CI56" s="114" t="s">
        <v>35</v>
      </c>
      <c r="CJ56" s="114" t="s">
        <v>35</v>
      </c>
      <c r="CK56" s="114" t="s">
        <v>35</v>
      </c>
      <c r="CL56" s="114" t="s">
        <v>35</v>
      </c>
      <c r="CM56" s="114" t="s">
        <v>35</v>
      </c>
      <c r="CN56" s="114" t="s">
        <v>35</v>
      </c>
      <c r="CO56" s="114" t="s">
        <v>35</v>
      </c>
      <c r="CP56" s="114" t="s">
        <v>35</v>
      </c>
      <c r="CQ56" s="114" t="s">
        <v>35</v>
      </c>
      <c r="CR56" s="114" t="s">
        <v>35</v>
      </c>
      <c r="CS56" s="114" t="s">
        <v>35</v>
      </c>
      <c r="CT56" s="114" t="s">
        <v>35</v>
      </c>
      <c r="CU56" s="114" t="s">
        <v>35</v>
      </c>
      <c r="CV56" s="114" t="s">
        <v>35</v>
      </c>
      <c r="CW56" s="114" t="s">
        <v>35</v>
      </c>
      <c r="CX56" s="114" t="s">
        <v>35</v>
      </c>
      <c r="CY56" s="114" t="s">
        <v>35</v>
      </c>
      <c r="CZ56" s="114" t="s">
        <v>35</v>
      </c>
      <c r="DA56" s="114" t="s">
        <v>35</v>
      </c>
      <c r="DB56" s="114" t="s">
        <v>35</v>
      </c>
      <c r="DC56" s="114" t="s">
        <v>35</v>
      </c>
      <c r="DD56" s="114" t="s">
        <v>35</v>
      </c>
      <c r="DE56" s="114" t="s">
        <v>35</v>
      </c>
      <c r="DF56" s="114" t="s">
        <v>35</v>
      </c>
      <c r="DG56" s="114" t="s">
        <v>35</v>
      </c>
      <c r="DH56" s="114" t="s">
        <v>35</v>
      </c>
      <c r="DI56" s="114" t="s">
        <v>35</v>
      </c>
      <c r="DJ56" s="114" t="s">
        <v>35</v>
      </c>
    </row>
    <row r="57" spans="1:114" x14ac:dyDescent="0.25">
      <c r="A57" s="113">
        <v>1</v>
      </c>
      <c r="B57" s="110" t="s">
        <v>111</v>
      </c>
      <c r="C57" s="114" t="s">
        <v>35</v>
      </c>
      <c r="D57" s="114" t="s">
        <v>35</v>
      </c>
      <c r="E57" s="114" t="s">
        <v>35</v>
      </c>
      <c r="F57" s="114" t="s">
        <v>35</v>
      </c>
      <c r="G57" s="114" t="s">
        <v>35</v>
      </c>
      <c r="H57" s="114" t="s">
        <v>35</v>
      </c>
      <c r="I57" s="114" t="s">
        <v>35</v>
      </c>
      <c r="J57" s="115"/>
      <c r="K57" s="115"/>
      <c r="L57" s="116" t="s">
        <v>36</v>
      </c>
      <c r="M57" s="114" t="s">
        <v>36</v>
      </c>
      <c r="N57" s="114" t="s">
        <v>36</v>
      </c>
      <c r="O57" s="114" t="s">
        <v>36</v>
      </c>
      <c r="P57" s="114" t="s">
        <v>36</v>
      </c>
      <c r="Q57" s="114" t="s">
        <v>36</v>
      </c>
      <c r="R57" s="114" t="s">
        <v>36</v>
      </c>
      <c r="S57" s="114" t="s">
        <v>36</v>
      </c>
      <c r="T57" s="114" t="s">
        <v>36</v>
      </c>
      <c r="U57" s="114" t="s">
        <v>36</v>
      </c>
      <c r="V57" s="114" t="s">
        <v>36</v>
      </c>
      <c r="W57" s="114" t="s">
        <v>36</v>
      </c>
      <c r="X57" s="114" t="s">
        <v>36</v>
      </c>
      <c r="Y57" s="114" t="s">
        <v>36</v>
      </c>
      <c r="Z57" s="114" t="s">
        <v>36</v>
      </c>
      <c r="AA57" s="114" t="s">
        <v>36</v>
      </c>
      <c r="AB57" s="114" t="s">
        <v>36</v>
      </c>
      <c r="AC57" s="114" t="s">
        <v>36</v>
      </c>
      <c r="AD57" s="114" t="s">
        <v>36</v>
      </c>
      <c r="AE57" s="114" t="s">
        <v>36</v>
      </c>
      <c r="AF57" s="114" t="s">
        <v>36</v>
      </c>
      <c r="AG57" s="114" t="s">
        <v>36</v>
      </c>
      <c r="AH57" s="114" t="s">
        <v>36</v>
      </c>
      <c r="AI57" s="114" t="s">
        <v>36</v>
      </c>
      <c r="AJ57" s="114" t="s">
        <v>36</v>
      </c>
      <c r="AK57" s="114" t="s">
        <v>36</v>
      </c>
      <c r="AL57" s="115"/>
      <c r="AM57" s="116" t="s">
        <v>36</v>
      </c>
      <c r="AN57" s="114" t="s">
        <v>36</v>
      </c>
      <c r="AO57" s="114" t="s">
        <v>36</v>
      </c>
      <c r="AP57" s="114" t="s">
        <v>36</v>
      </c>
      <c r="AQ57" s="114" t="s">
        <v>36</v>
      </c>
      <c r="AR57" s="114" t="s">
        <v>36</v>
      </c>
      <c r="AS57" s="114" t="s">
        <v>36</v>
      </c>
      <c r="AT57" s="114" t="s">
        <v>36</v>
      </c>
      <c r="AU57" s="114" t="s">
        <v>36</v>
      </c>
      <c r="AV57" s="114" t="s">
        <v>36</v>
      </c>
      <c r="AW57" s="114" t="s">
        <v>36</v>
      </c>
      <c r="AX57" s="114" t="s">
        <v>36</v>
      </c>
      <c r="AY57" s="114" t="s">
        <v>36</v>
      </c>
      <c r="AZ57" s="114" t="s">
        <v>36</v>
      </c>
      <c r="BA57" s="114" t="s">
        <v>36</v>
      </c>
      <c r="BB57" s="114" t="s">
        <v>36</v>
      </c>
      <c r="BC57" s="114" t="s">
        <v>36</v>
      </c>
      <c r="BD57" s="114" t="s">
        <v>36</v>
      </c>
      <c r="BE57" s="114" t="s">
        <v>36</v>
      </c>
      <c r="BF57" s="114" t="s">
        <v>36</v>
      </c>
      <c r="BG57" s="114" t="s">
        <v>36</v>
      </c>
      <c r="BH57" s="114" t="s">
        <v>36</v>
      </c>
      <c r="BI57" s="114" t="s">
        <v>36</v>
      </c>
      <c r="BJ57" s="114" t="s">
        <v>36</v>
      </c>
      <c r="BK57" s="114" t="s">
        <v>36</v>
      </c>
      <c r="BL57" s="114" t="s">
        <v>36</v>
      </c>
      <c r="BM57" s="114" t="s">
        <v>36</v>
      </c>
      <c r="BN57" s="114" t="s">
        <v>36</v>
      </c>
      <c r="BO57" s="114" t="s">
        <v>36</v>
      </c>
      <c r="BP57" s="114" t="s">
        <v>36</v>
      </c>
      <c r="BQ57" s="114" t="s">
        <v>36</v>
      </c>
      <c r="BR57" s="114" t="s">
        <v>36</v>
      </c>
      <c r="BS57" s="114" t="s">
        <v>36</v>
      </c>
      <c r="BT57" s="114" t="s">
        <v>36</v>
      </c>
      <c r="BU57" s="114" t="s">
        <v>36</v>
      </c>
      <c r="BV57" s="114" t="s">
        <v>36</v>
      </c>
      <c r="BW57" s="114" t="s">
        <v>36</v>
      </c>
      <c r="BX57" s="114" t="s">
        <v>36</v>
      </c>
      <c r="BY57" s="114" t="s">
        <v>36</v>
      </c>
      <c r="BZ57" s="114" t="s">
        <v>36</v>
      </c>
      <c r="CA57" s="114" t="s">
        <v>36</v>
      </c>
      <c r="CB57" s="114" t="s">
        <v>36</v>
      </c>
      <c r="CC57" s="114" t="s">
        <v>36</v>
      </c>
      <c r="CD57" s="114" t="s">
        <v>36</v>
      </c>
      <c r="CE57" s="114" t="s">
        <v>36</v>
      </c>
      <c r="CF57" s="114" t="s">
        <v>36</v>
      </c>
      <c r="CG57" s="114" t="s">
        <v>36</v>
      </c>
      <c r="CH57" s="114" t="s">
        <v>36</v>
      </c>
      <c r="CI57" s="114" t="s">
        <v>36</v>
      </c>
      <c r="CJ57" s="114" t="s">
        <v>36</v>
      </c>
      <c r="CK57" s="114" t="s">
        <v>36</v>
      </c>
      <c r="CL57" s="114" t="s">
        <v>36</v>
      </c>
      <c r="CM57" s="114" t="s">
        <v>36</v>
      </c>
      <c r="CN57" s="114" t="s">
        <v>36</v>
      </c>
      <c r="CO57" s="114" t="s">
        <v>36</v>
      </c>
      <c r="CP57" s="114" t="s">
        <v>36</v>
      </c>
      <c r="CQ57" s="114" t="s">
        <v>36</v>
      </c>
      <c r="CR57" s="114" t="s">
        <v>36</v>
      </c>
      <c r="CS57" s="114" t="s">
        <v>36</v>
      </c>
      <c r="CT57" s="114" t="s">
        <v>36</v>
      </c>
      <c r="CU57" s="114" t="s">
        <v>36</v>
      </c>
      <c r="CV57" s="114" t="s">
        <v>36</v>
      </c>
      <c r="CW57" s="114" t="s">
        <v>36</v>
      </c>
      <c r="CX57" s="114" t="s">
        <v>36</v>
      </c>
      <c r="CY57" s="114" t="s">
        <v>36</v>
      </c>
      <c r="CZ57" s="114" t="s">
        <v>36</v>
      </c>
      <c r="DA57" s="114" t="s">
        <v>36</v>
      </c>
      <c r="DB57" s="114" t="s">
        <v>36</v>
      </c>
      <c r="DC57" s="114" t="s">
        <v>36</v>
      </c>
      <c r="DD57" s="114" t="s">
        <v>36</v>
      </c>
      <c r="DE57" s="114" t="s">
        <v>36</v>
      </c>
      <c r="DF57" s="114" t="s">
        <v>36</v>
      </c>
      <c r="DG57" s="114" t="s">
        <v>36</v>
      </c>
      <c r="DH57" s="114" t="s">
        <v>36</v>
      </c>
      <c r="DI57" s="114" t="s">
        <v>36</v>
      </c>
      <c r="DJ57" s="114" t="s">
        <v>36</v>
      </c>
    </row>
    <row r="58" spans="1:114" x14ac:dyDescent="0.25">
      <c r="A58" s="113">
        <v>1</v>
      </c>
      <c r="B58" s="110" t="s">
        <v>112</v>
      </c>
      <c r="C58" s="114" t="s">
        <v>36</v>
      </c>
      <c r="D58" s="114" t="s">
        <v>36</v>
      </c>
      <c r="E58" s="114" t="s">
        <v>36</v>
      </c>
      <c r="F58" s="114" t="s">
        <v>36</v>
      </c>
      <c r="G58" s="114" t="s">
        <v>36</v>
      </c>
      <c r="H58" s="114" t="s">
        <v>36</v>
      </c>
      <c r="I58" s="114" t="s">
        <v>36</v>
      </c>
      <c r="J58" s="115"/>
      <c r="K58" s="116" t="s">
        <v>35</v>
      </c>
      <c r="L58" s="114" t="s">
        <v>35</v>
      </c>
      <c r="M58" s="114" t="s">
        <v>35</v>
      </c>
      <c r="N58" s="114" t="s">
        <v>35</v>
      </c>
      <c r="O58" s="114" t="s">
        <v>35</v>
      </c>
      <c r="P58" s="114" t="s">
        <v>35</v>
      </c>
      <c r="Q58" s="114" t="s">
        <v>35</v>
      </c>
      <c r="R58" s="114" t="s">
        <v>35</v>
      </c>
      <c r="S58" s="114" t="s">
        <v>35</v>
      </c>
      <c r="T58" s="114" t="s">
        <v>35</v>
      </c>
      <c r="U58" s="114" t="s">
        <v>35</v>
      </c>
      <c r="V58" s="114" t="s">
        <v>35</v>
      </c>
      <c r="W58" s="114" t="s">
        <v>35</v>
      </c>
      <c r="X58" s="114" t="s">
        <v>35</v>
      </c>
      <c r="Y58" s="114" t="s">
        <v>35</v>
      </c>
      <c r="Z58" s="114" t="s">
        <v>35</v>
      </c>
      <c r="AA58" s="114" t="s">
        <v>35</v>
      </c>
      <c r="AB58" s="114" t="s">
        <v>35</v>
      </c>
      <c r="AC58" s="114" t="s">
        <v>35</v>
      </c>
      <c r="AD58" s="114" t="s">
        <v>35</v>
      </c>
      <c r="AE58" s="114" t="s">
        <v>35</v>
      </c>
      <c r="AF58" s="114" t="s">
        <v>35</v>
      </c>
      <c r="AG58" s="114" t="s">
        <v>35</v>
      </c>
      <c r="AH58" s="114" t="s">
        <v>35</v>
      </c>
      <c r="AI58" s="114" t="s">
        <v>35</v>
      </c>
      <c r="AJ58" s="114" t="s">
        <v>35</v>
      </c>
      <c r="AK58" s="114" t="s">
        <v>35</v>
      </c>
      <c r="AL58" s="115"/>
      <c r="AM58" s="116" t="s">
        <v>35</v>
      </c>
      <c r="AN58" s="114" t="s">
        <v>35</v>
      </c>
      <c r="AO58" s="114" t="s">
        <v>35</v>
      </c>
      <c r="AP58" s="114" t="s">
        <v>35</v>
      </c>
      <c r="AQ58" s="114" t="s">
        <v>35</v>
      </c>
      <c r="AR58" s="114" t="s">
        <v>35</v>
      </c>
      <c r="AS58" s="114" t="s">
        <v>35</v>
      </c>
      <c r="AT58" s="114" t="s">
        <v>35</v>
      </c>
      <c r="AU58" s="114" t="s">
        <v>35</v>
      </c>
      <c r="AV58" s="114" t="s">
        <v>35</v>
      </c>
      <c r="AW58" s="114" t="s">
        <v>35</v>
      </c>
      <c r="AX58" s="114" t="s">
        <v>35</v>
      </c>
      <c r="AY58" s="114" t="s">
        <v>35</v>
      </c>
      <c r="AZ58" s="114" t="s">
        <v>35</v>
      </c>
      <c r="BA58" s="114" t="s">
        <v>35</v>
      </c>
      <c r="BB58" s="114" t="s">
        <v>35</v>
      </c>
      <c r="BC58" s="114" t="s">
        <v>35</v>
      </c>
      <c r="BD58" s="114" t="s">
        <v>35</v>
      </c>
      <c r="BE58" s="114" t="s">
        <v>35</v>
      </c>
      <c r="BF58" s="114" t="s">
        <v>35</v>
      </c>
      <c r="BG58" s="114" t="s">
        <v>35</v>
      </c>
      <c r="BH58" s="114" t="s">
        <v>35</v>
      </c>
      <c r="BI58" s="114" t="s">
        <v>35</v>
      </c>
      <c r="BJ58" s="114" t="s">
        <v>35</v>
      </c>
      <c r="BK58" s="114" t="s">
        <v>35</v>
      </c>
      <c r="BL58" s="114" t="s">
        <v>35</v>
      </c>
      <c r="BM58" s="114" t="s">
        <v>35</v>
      </c>
      <c r="BN58" s="114" t="s">
        <v>35</v>
      </c>
      <c r="BO58" s="114" t="s">
        <v>35</v>
      </c>
      <c r="BP58" s="114" t="s">
        <v>35</v>
      </c>
      <c r="BQ58" s="114" t="s">
        <v>35</v>
      </c>
      <c r="BR58" s="114" t="s">
        <v>35</v>
      </c>
      <c r="BS58" s="114" t="s">
        <v>35</v>
      </c>
      <c r="BT58" s="114" t="s">
        <v>35</v>
      </c>
      <c r="BU58" s="114" t="s">
        <v>35</v>
      </c>
      <c r="BV58" s="114" t="s">
        <v>35</v>
      </c>
      <c r="BW58" s="114" t="s">
        <v>35</v>
      </c>
      <c r="BX58" s="114" t="s">
        <v>35</v>
      </c>
      <c r="BY58" s="114" t="s">
        <v>35</v>
      </c>
      <c r="BZ58" s="114" t="s">
        <v>35</v>
      </c>
      <c r="CA58" s="114" t="s">
        <v>35</v>
      </c>
      <c r="CB58" s="114" t="s">
        <v>35</v>
      </c>
      <c r="CC58" s="114" t="s">
        <v>35</v>
      </c>
      <c r="CD58" s="114" t="s">
        <v>35</v>
      </c>
      <c r="CE58" s="114" t="s">
        <v>35</v>
      </c>
      <c r="CF58" s="114" t="s">
        <v>35</v>
      </c>
      <c r="CG58" s="114" t="s">
        <v>35</v>
      </c>
      <c r="CH58" s="114" t="s">
        <v>35</v>
      </c>
      <c r="CI58" s="114" t="s">
        <v>35</v>
      </c>
      <c r="CJ58" s="114" t="s">
        <v>35</v>
      </c>
      <c r="CK58" s="114" t="s">
        <v>35</v>
      </c>
      <c r="CL58" s="114" t="s">
        <v>35</v>
      </c>
      <c r="CM58" s="114" t="s">
        <v>35</v>
      </c>
      <c r="CN58" s="114" t="s">
        <v>35</v>
      </c>
      <c r="CO58" s="114" t="s">
        <v>35</v>
      </c>
      <c r="CP58" s="114" t="s">
        <v>35</v>
      </c>
      <c r="CQ58" s="114" t="s">
        <v>35</v>
      </c>
      <c r="CR58" s="114" t="s">
        <v>35</v>
      </c>
      <c r="CS58" s="114" t="s">
        <v>35</v>
      </c>
      <c r="CT58" s="114" t="s">
        <v>35</v>
      </c>
      <c r="CU58" s="114" t="s">
        <v>35</v>
      </c>
      <c r="CV58" s="114" t="s">
        <v>35</v>
      </c>
      <c r="CW58" s="114" t="s">
        <v>35</v>
      </c>
      <c r="CX58" s="114" t="s">
        <v>35</v>
      </c>
      <c r="CY58" s="114" t="s">
        <v>35</v>
      </c>
      <c r="CZ58" s="114" t="s">
        <v>35</v>
      </c>
      <c r="DA58" s="114" t="s">
        <v>35</v>
      </c>
      <c r="DB58" s="114" t="s">
        <v>35</v>
      </c>
      <c r="DC58" s="114" t="s">
        <v>35</v>
      </c>
      <c r="DD58" s="114" t="s">
        <v>35</v>
      </c>
      <c r="DE58" s="114" t="s">
        <v>35</v>
      </c>
      <c r="DF58" s="114" t="s">
        <v>35</v>
      </c>
      <c r="DG58" s="114" t="s">
        <v>35</v>
      </c>
      <c r="DH58" s="114" t="s">
        <v>35</v>
      </c>
      <c r="DI58" s="114" t="s">
        <v>35</v>
      </c>
      <c r="DJ58" s="114" t="s">
        <v>35</v>
      </c>
    </row>
    <row r="59" spans="1:114" x14ac:dyDescent="0.25">
      <c r="A59" s="113">
        <v>1</v>
      </c>
      <c r="B59" s="110" t="s">
        <v>113</v>
      </c>
      <c r="C59" s="114" t="s">
        <v>35</v>
      </c>
      <c r="D59" s="114" t="s">
        <v>35</v>
      </c>
      <c r="E59" s="114" t="s">
        <v>35</v>
      </c>
      <c r="F59" s="114" t="s">
        <v>35</v>
      </c>
      <c r="G59" s="114" t="s">
        <v>35</v>
      </c>
      <c r="H59" s="114" t="s">
        <v>35</v>
      </c>
      <c r="I59" s="114" t="s">
        <v>35</v>
      </c>
      <c r="J59" s="114" t="s">
        <v>35</v>
      </c>
      <c r="K59" s="114" t="s">
        <v>35</v>
      </c>
      <c r="L59" s="114" t="s">
        <v>35</v>
      </c>
      <c r="M59" s="114" t="s">
        <v>35</v>
      </c>
      <c r="N59" s="114" t="s">
        <v>35</v>
      </c>
      <c r="O59" s="114" t="s">
        <v>35</v>
      </c>
      <c r="P59" s="114" t="s">
        <v>35</v>
      </c>
      <c r="Q59" s="114" t="s">
        <v>35</v>
      </c>
      <c r="R59" s="114" t="s">
        <v>35</v>
      </c>
      <c r="S59" s="114" t="s">
        <v>35</v>
      </c>
      <c r="T59" s="114" t="s">
        <v>35</v>
      </c>
      <c r="U59" s="114" t="s">
        <v>35</v>
      </c>
      <c r="V59" s="114" t="s">
        <v>35</v>
      </c>
      <c r="W59" s="114" t="s">
        <v>35</v>
      </c>
      <c r="X59" s="114" t="s">
        <v>35</v>
      </c>
      <c r="Y59" s="114" t="s">
        <v>35</v>
      </c>
      <c r="Z59" s="114" t="s">
        <v>35</v>
      </c>
      <c r="AA59" s="114" t="s">
        <v>35</v>
      </c>
      <c r="AB59" s="114" t="s">
        <v>35</v>
      </c>
      <c r="AC59" s="114" t="s">
        <v>35</v>
      </c>
      <c r="AD59" s="114" t="s">
        <v>35</v>
      </c>
      <c r="AE59" s="114" t="s">
        <v>35</v>
      </c>
      <c r="AF59" s="114" t="s">
        <v>35</v>
      </c>
      <c r="AG59" s="114" t="s">
        <v>35</v>
      </c>
      <c r="AH59" s="114" t="s">
        <v>35</v>
      </c>
      <c r="AI59" s="114" t="s">
        <v>35</v>
      </c>
      <c r="AJ59" s="114" t="s">
        <v>35</v>
      </c>
      <c r="AK59" s="114" t="s">
        <v>35</v>
      </c>
      <c r="AL59" s="115"/>
      <c r="AM59" s="116" t="s">
        <v>35</v>
      </c>
      <c r="AN59" s="114" t="s">
        <v>35</v>
      </c>
      <c r="AO59" s="114" t="s">
        <v>35</v>
      </c>
      <c r="AP59" s="114" t="s">
        <v>35</v>
      </c>
      <c r="AQ59" s="114" t="s">
        <v>35</v>
      </c>
      <c r="AR59" s="114" t="s">
        <v>35</v>
      </c>
      <c r="AS59" s="114" t="s">
        <v>35</v>
      </c>
      <c r="AT59" s="114" t="s">
        <v>35</v>
      </c>
      <c r="AU59" s="114" t="s">
        <v>35</v>
      </c>
      <c r="AV59" s="114" t="s">
        <v>35</v>
      </c>
      <c r="AW59" s="114" t="s">
        <v>35</v>
      </c>
      <c r="AX59" s="114" t="s">
        <v>35</v>
      </c>
      <c r="AY59" s="114" t="s">
        <v>35</v>
      </c>
      <c r="AZ59" s="114" t="s">
        <v>35</v>
      </c>
      <c r="BA59" s="114" t="s">
        <v>35</v>
      </c>
      <c r="BB59" s="114" t="s">
        <v>35</v>
      </c>
      <c r="BC59" s="114" t="s">
        <v>35</v>
      </c>
      <c r="BD59" s="114" t="s">
        <v>35</v>
      </c>
      <c r="BE59" s="114" t="s">
        <v>35</v>
      </c>
      <c r="BF59" s="114" t="s">
        <v>35</v>
      </c>
      <c r="BG59" s="114" t="s">
        <v>35</v>
      </c>
      <c r="BH59" s="114" t="s">
        <v>35</v>
      </c>
      <c r="BI59" s="114" t="s">
        <v>35</v>
      </c>
      <c r="BJ59" s="114" t="s">
        <v>35</v>
      </c>
      <c r="BK59" s="114" t="s">
        <v>35</v>
      </c>
      <c r="BL59" s="114" t="s">
        <v>35</v>
      </c>
      <c r="BM59" s="114" t="s">
        <v>35</v>
      </c>
      <c r="BN59" s="114" t="s">
        <v>35</v>
      </c>
      <c r="BO59" s="114" t="s">
        <v>35</v>
      </c>
      <c r="BP59" s="114" t="s">
        <v>35</v>
      </c>
      <c r="BQ59" s="114" t="s">
        <v>35</v>
      </c>
      <c r="BR59" s="114" t="s">
        <v>35</v>
      </c>
      <c r="BS59" s="114" t="s">
        <v>35</v>
      </c>
      <c r="BT59" s="114" t="s">
        <v>35</v>
      </c>
      <c r="BU59" s="114" t="s">
        <v>35</v>
      </c>
      <c r="BV59" s="114" t="s">
        <v>35</v>
      </c>
      <c r="BW59" s="114" t="s">
        <v>35</v>
      </c>
      <c r="BX59" s="114" t="s">
        <v>35</v>
      </c>
      <c r="BY59" s="114" t="s">
        <v>35</v>
      </c>
      <c r="BZ59" s="114" t="s">
        <v>35</v>
      </c>
      <c r="CA59" s="114" t="s">
        <v>35</v>
      </c>
      <c r="CB59" s="114" t="s">
        <v>35</v>
      </c>
      <c r="CC59" s="114" t="s">
        <v>35</v>
      </c>
      <c r="CD59" s="114" t="s">
        <v>35</v>
      </c>
      <c r="CE59" s="114" t="s">
        <v>35</v>
      </c>
      <c r="CF59" s="114" t="s">
        <v>35</v>
      </c>
      <c r="CG59" s="114" t="s">
        <v>35</v>
      </c>
      <c r="CH59" s="114" t="s">
        <v>35</v>
      </c>
      <c r="CI59" s="114" t="s">
        <v>35</v>
      </c>
      <c r="CJ59" s="114" t="s">
        <v>35</v>
      </c>
      <c r="CK59" s="114" t="s">
        <v>35</v>
      </c>
      <c r="CL59" s="114" t="s">
        <v>35</v>
      </c>
      <c r="CM59" s="114" t="s">
        <v>35</v>
      </c>
      <c r="CN59" s="114" t="s">
        <v>35</v>
      </c>
      <c r="CO59" s="114" t="s">
        <v>35</v>
      </c>
      <c r="CP59" s="114" t="s">
        <v>35</v>
      </c>
      <c r="CQ59" s="114" t="s">
        <v>35</v>
      </c>
      <c r="CR59" s="114" t="s">
        <v>35</v>
      </c>
      <c r="CS59" s="114" t="s">
        <v>35</v>
      </c>
      <c r="CT59" s="114" t="s">
        <v>35</v>
      </c>
      <c r="CU59" s="114" t="s">
        <v>35</v>
      </c>
      <c r="CV59" s="114" t="s">
        <v>35</v>
      </c>
      <c r="CW59" s="114" t="s">
        <v>35</v>
      </c>
      <c r="CX59" s="114" t="s">
        <v>35</v>
      </c>
      <c r="CY59" s="114" t="s">
        <v>35</v>
      </c>
      <c r="CZ59" s="114" t="s">
        <v>35</v>
      </c>
      <c r="DA59" s="114" t="s">
        <v>35</v>
      </c>
      <c r="DB59" s="114" t="s">
        <v>35</v>
      </c>
      <c r="DC59" s="114" t="s">
        <v>35</v>
      </c>
      <c r="DD59" s="114" t="s">
        <v>35</v>
      </c>
      <c r="DE59" s="114" t="s">
        <v>35</v>
      </c>
      <c r="DF59" s="114" t="s">
        <v>35</v>
      </c>
      <c r="DG59" s="114" t="s">
        <v>35</v>
      </c>
      <c r="DH59" s="114" t="s">
        <v>35</v>
      </c>
      <c r="DI59" s="114" t="s">
        <v>35</v>
      </c>
      <c r="DJ59" s="114" t="s">
        <v>35</v>
      </c>
    </row>
    <row r="60" spans="1:114" x14ac:dyDescent="0.25">
      <c r="A60" s="113">
        <v>1</v>
      </c>
      <c r="B60" s="110" t="s">
        <v>114</v>
      </c>
      <c r="C60" s="114" t="s">
        <v>36</v>
      </c>
      <c r="D60" s="114" t="s">
        <v>36</v>
      </c>
      <c r="E60" s="114" t="s">
        <v>36</v>
      </c>
      <c r="F60" s="114" t="s">
        <v>36</v>
      </c>
      <c r="G60" s="114" t="s">
        <v>36</v>
      </c>
      <c r="H60" s="114" t="s">
        <v>36</v>
      </c>
      <c r="I60" s="114" t="s">
        <v>36</v>
      </c>
      <c r="J60" s="116" t="s">
        <v>35</v>
      </c>
      <c r="K60" s="114" t="s">
        <v>35</v>
      </c>
      <c r="L60" s="114" t="s">
        <v>35</v>
      </c>
      <c r="M60" s="114" t="s">
        <v>35</v>
      </c>
      <c r="N60" s="114" t="s">
        <v>35</v>
      </c>
      <c r="O60" s="114" t="s">
        <v>35</v>
      </c>
      <c r="P60" s="114" t="s">
        <v>35</v>
      </c>
      <c r="Q60" s="114" t="s">
        <v>35</v>
      </c>
      <c r="R60" s="114" t="s">
        <v>35</v>
      </c>
      <c r="S60" s="114" t="s">
        <v>35</v>
      </c>
      <c r="T60" s="114" t="s">
        <v>35</v>
      </c>
      <c r="U60" s="114" t="s">
        <v>35</v>
      </c>
      <c r="V60" s="114" t="s">
        <v>35</v>
      </c>
      <c r="W60" s="114" t="s">
        <v>35</v>
      </c>
      <c r="X60" s="114" t="s">
        <v>35</v>
      </c>
      <c r="Y60" s="114" t="s">
        <v>35</v>
      </c>
      <c r="Z60" s="114" t="s">
        <v>35</v>
      </c>
      <c r="AA60" s="114" t="s">
        <v>35</v>
      </c>
      <c r="AB60" s="114" t="s">
        <v>35</v>
      </c>
      <c r="AC60" s="114" t="s">
        <v>35</v>
      </c>
      <c r="AD60" s="114" t="s">
        <v>35</v>
      </c>
      <c r="AE60" s="114" t="s">
        <v>35</v>
      </c>
      <c r="AF60" s="114" t="s">
        <v>35</v>
      </c>
      <c r="AG60" s="114" t="s">
        <v>35</v>
      </c>
      <c r="AH60" s="114" t="s">
        <v>35</v>
      </c>
      <c r="AI60" s="114" t="s">
        <v>35</v>
      </c>
      <c r="AJ60" s="114" t="s">
        <v>35</v>
      </c>
      <c r="AK60" s="114" t="s">
        <v>35</v>
      </c>
      <c r="AL60" s="114" t="s">
        <v>35</v>
      </c>
      <c r="AM60" s="114" t="s">
        <v>35</v>
      </c>
      <c r="AN60" s="114" t="s">
        <v>35</v>
      </c>
      <c r="AO60" s="114" t="s">
        <v>35</v>
      </c>
      <c r="AP60" s="114" t="s">
        <v>35</v>
      </c>
      <c r="AQ60" s="114" t="s">
        <v>35</v>
      </c>
      <c r="AR60" s="114" t="s">
        <v>35</v>
      </c>
      <c r="AS60" s="114" t="s">
        <v>35</v>
      </c>
      <c r="AT60" s="114" t="s">
        <v>35</v>
      </c>
      <c r="AU60" s="114" t="s">
        <v>35</v>
      </c>
      <c r="AV60" s="114" t="s">
        <v>35</v>
      </c>
      <c r="AW60" s="114" t="s">
        <v>35</v>
      </c>
      <c r="AX60" s="114" t="s">
        <v>35</v>
      </c>
      <c r="AY60" s="114" t="s">
        <v>35</v>
      </c>
      <c r="AZ60" s="114" t="s">
        <v>35</v>
      </c>
      <c r="BA60" s="114" t="s">
        <v>35</v>
      </c>
      <c r="BB60" s="114" t="s">
        <v>35</v>
      </c>
      <c r="BC60" s="114" t="s">
        <v>35</v>
      </c>
      <c r="BD60" s="114" t="s">
        <v>35</v>
      </c>
      <c r="BE60" s="114" t="s">
        <v>35</v>
      </c>
      <c r="BF60" s="114" t="s">
        <v>35</v>
      </c>
      <c r="BG60" s="114" t="s">
        <v>35</v>
      </c>
      <c r="BH60" s="114" t="s">
        <v>35</v>
      </c>
      <c r="BI60" s="114" t="s">
        <v>35</v>
      </c>
      <c r="BJ60" s="114" t="s">
        <v>35</v>
      </c>
      <c r="BK60" s="114" t="s">
        <v>35</v>
      </c>
      <c r="BL60" s="114" t="s">
        <v>35</v>
      </c>
      <c r="BM60" s="114" t="s">
        <v>35</v>
      </c>
      <c r="BN60" s="114" t="s">
        <v>35</v>
      </c>
      <c r="BO60" s="114" t="s">
        <v>35</v>
      </c>
      <c r="BP60" s="114" t="s">
        <v>35</v>
      </c>
      <c r="BQ60" s="114" t="s">
        <v>35</v>
      </c>
      <c r="BR60" s="114" t="s">
        <v>35</v>
      </c>
      <c r="BS60" s="114" t="s">
        <v>35</v>
      </c>
      <c r="BT60" s="114" t="s">
        <v>35</v>
      </c>
      <c r="BU60" s="114" t="s">
        <v>35</v>
      </c>
      <c r="BV60" s="114" t="s">
        <v>35</v>
      </c>
      <c r="BW60" s="114" t="s">
        <v>35</v>
      </c>
      <c r="BX60" s="114" t="s">
        <v>35</v>
      </c>
      <c r="BY60" s="114" t="s">
        <v>35</v>
      </c>
      <c r="BZ60" s="114" t="s">
        <v>35</v>
      </c>
      <c r="CA60" s="114" t="s">
        <v>35</v>
      </c>
      <c r="CB60" s="114" t="s">
        <v>35</v>
      </c>
      <c r="CC60" s="114" t="s">
        <v>35</v>
      </c>
      <c r="CD60" s="114" t="s">
        <v>35</v>
      </c>
      <c r="CE60" s="114" t="s">
        <v>35</v>
      </c>
      <c r="CF60" s="114" t="s">
        <v>35</v>
      </c>
      <c r="CG60" s="114" t="s">
        <v>35</v>
      </c>
      <c r="CH60" s="114" t="s">
        <v>35</v>
      </c>
      <c r="CI60" s="114" t="s">
        <v>35</v>
      </c>
      <c r="CJ60" s="114" t="s">
        <v>35</v>
      </c>
      <c r="CK60" s="114" t="s">
        <v>35</v>
      </c>
      <c r="CL60" s="114" t="s">
        <v>35</v>
      </c>
      <c r="CM60" s="114" t="s">
        <v>35</v>
      </c>
      <c r="CN60" s="114" t="s">
        <v>35</v>
      </c>
      <c r="CO60" s="114" t="s">
        <v>35</v>
      </c>
      <c r="CP60" s="114" t="s">
        <v>35</v>
      </c>
      <c r="CQ60" s="114" t="s">
        <v>35</v>
      </c>
      <c r="CR60" s="114" t="s">
        <v>35</v>
      </c>
      <c r="CS60" s="114" t="s">
        <v>35</v>
      </c>
      <c r="CT60" s="114" t="s">
        <v>35</v>
      </c>
      <c r="CU60" s="114" t="s">
        <v>35</v>
      </c>
      <c r="CV60" s="114" t="s">
        <v>35</v>
      </c>
      <c r="CW60" s="114" t="s">
        <v>35</v>
      </c>
      <c r="CX60" s="114" t="s">
        <v>35</v>
      </c>
      <c r="CY60" s="114" t="s">
        <v>35</v>
      </c>
      <c r="CZ60" s="114" t="s">
        <v>35</v>
      </c>
      <c r="DA60" s="114" t="s">
        <v>35</v>
      </c>
      <c r="DB60" s="114" t="s">
        <v>35</v>
      </c>
      <c r="DC60" s="114" t="s">
        <v>35</v>
      </c>
      <c r="DD60" s="114" t="s">
        <v>35</v>
      </c>
      <c r="DE60" s="115"/>
      <c r="DF60" s="115"/>
      <c r="DG60" s="115"/>
      <c r="DH60" s="115"/>
      <c r="DI60" s="115"/>
      <c r="DJ60" s="115"/>
    </row>
  </sheetData>
  <mergeCells count="4">
    <mergeCell ref="A1:O1"/>
    <mergeCell ref="A3:O3"/>
    <mergeCell ref="A4:O4"/>
    <mergeCell ref="A6:T6"/>
  </mergeCells>
  <pageMargins left="0" right="0.1" top="0.5" bottom="0.5" header="0" footer="0.3"/>
  <pageSetup paperSize="9" orientation="landscape" useFirstPageNumber="1" r:id="rId1"/>
  <headerFooter>
    <oddFooter>&amp;RPage &amp;P Of &amp;N&amp;CAccommodation Booking Schedule&amp;L&amp;D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34998626667073579"/>
  </sheetPr>
  <dimension ref="A1:GZ1027"/>
  <sheetViews>
    <sheetView workbookViewId="0">
      <selection activeCell="H37" sqref="H37"/>
    </sheetView>
  </sheetViews>
  <sheetFormatPr defaultRowHeight="15" x14ac:dyDescent="0.25"/>
  <cols>
    <col min="1" max="1" width="9.140625" style="8"/>
    <col min="2" max="2" width="9.140625" style="8" customWidth="1"/>
    <col min="3" max="3" width="9.140625" style="8"/>
    <col min="4" max="10" width="9.140625" style="8" customWidth="1"/>
    <col min="11" max="12" width="9.140625" style="8"/>
    <col min="13" max="13" width="9.140625" style="8" customWidth="1"/>
    <col min="14" max="15" width="9.140625" style="8"/>
    <col min="16" max="16" width="9.140625" style="8" customWidth="1"/>
    <col min="17" max="16384" width="9.140625" style="8"/>
  </cols>
  <sheetData>
    <row r="1" spans="1:16" x14ac:dyDescent="0.25">
      <c r="A1" s="7" t="s">
        <v>1</v>
      </c>
      <c r="K1" s="7" t="s">
        <v>18</v>
      </c>
    </row>
    <row r="2" spans="1:16" x14ac:dyDescent="0.25">
      <c r="A2" s="9">
        <f>COUNTA('PASTE RAW DATA HERE'!A1:A600)+5</f>
        <v>60</v>
      </c>
      <c r="K2" s="9">
        <f>YEAR(MID('PASTE RAW DATA HERE'!A3, 7, 10))</f>
        <v>2018</v>
      </c>
    </row>
    <row r="4" spans="1:16" x14ac:dyDescent="0.25">
      <c r="A4" s="7" t="s">
        <v>0</v>
      </c>
      <c r="K4" s="7" t="s">
        <v>23</v>
      </c>
    </row>
    <row r="5" spans="1:16" x14ac:dyDescent="0.25">
      <c r="A5" s="9">
        <f>COUNTA('PASTE RAW DATA HERE'!A10:ZZ10)</f>
        <v>114</v>
      </c>
      <c r="B5" s="8" t="str">
        <f>"(Row "&amp;SUBSTITUTE(ADDRESS(1,A5,4),1,"")&amp;")"</f>
        <v>(Row DJ)</v>
      </c>
      <c r="K5" s="8" t="str">
        <f>LEFT('PASTE RAW DATA HERE'!A6,FIND(",",'PASTE RAW DATA HERE'!A6)-1)</f>
        <v>Tufnell House</v>
      </c>
    </row>
    <row r="7" spans="1:16" x14ac:dyDescent="0.25">
      <c r="A7" s="7" t="s">
        <v>2</v>
      </c>
    </row>
    <row r="8" spans="1:16" x14ac:dyDescent="0.25">
      <c r="A8" s="8" t="s">
        <v>6</v>
      </c>
      <c r="D8" s="8" t="s">
        <v>5</v>
      </c>
      <c r="E8" s="8" t="s">
        <v>4</v>
      </c>
      <c r="F8" s="8" t="s">
        <v>5</v>
      </c>
      <c r="G8" s="8" t="s">
        <v>4</v>
      </c>
    </row>
    <row r="9" spans="1:16" x14ac:dyDescent="0.25">
      <c r="A9" s="8" t="str">
        <f>"'PASTE RAW DATA HERE'!"</f>
        <v>'PASTE RAW DATA HERE'!</v>
      </c>
      <c r="D9" s="9">
        <v>3</v>
      </c>
      <c r="E9" s="9">
        <v>11</v>
      </c>
      <c r="F9" s="9">
        <f>A5</f>
        <v>114</v>
      </c>
      <c r="G9" s="9">
        <f>E9</f>
        <v>11</v>
      </c>
    </row>
    <row r="10" spans="1:16" x14ac:dyDescent="0.25">
      <c r="D10" s="9">
        <v>3</v>
      </c>
      <c r="E10" s="9">
        <f>IF(A13="No asterisk rooms", A2, C14)</f>
        <v>60</v>
      </c>
      <c r="F10" s="9">
        <f>A5</f>
        <v>114</v>
      </c>
      <c r="G10" s="9">
        <f>IF(A13="No asterisk rooms", A2, E14)</f>
        <v>60</v>
      </c>
    </row>
    <row r="12" spans="1:16" x14ac:dyDescent="0.25">
      <c r="A12" s="7" t="s">
        <v>10</v>
      </c>
      <c r="K12" s="7" t="s">
        <v>11</v>
      </c>
    </row>
    <row r="13" spans="1:16" x14ac:dyDescent="0.25">
      <c r="A13" s="9">
        <f>IF(COUNTIF(A27:A1027, "@*")=0, "No asterisk rooms", COUNTIF(A27:A1027, "@*"))</f>
        <v>50</v>
      </c>
      <c r="B13" s="9" t="s">
        <v>5</v>
      </c>
      <c r="C13" s="9" t="s">
        <v>4</v>
      </c>
      <c r="D13" s="9" t="s">
        <v>5</v>
      </c>
      <c r="E13" s="9" t="s">
        <v>4</v>
      </c>
      <c r="K13" s="8" t="s">
        <v>14</v>
      </c>
      <c r="L13" s="9">
        <f>IF(A13="No asterisk rooms", A2-10, A13)</f>
        <v>50</v>
      </c>
      <c r="M13" s="8" t="s">
        <v>12</v>
      </c>
      <c r="N13" s="9">
        <f ca="1">COUNTIF(INDIRECT(A9&amp;ADDRESS(E9, 1, 1)):INDIRECT(A9&amp;ADDRESS(E10, 1, 1)), 1)</f>
        <v>50</v>
      </c>
      <c r="O13" s="8" t="s">
        <v>13</v>
      </c>
      <c r="P13" s="8">
        <f ca="1">COUNTIF(INDIRECT(A9&amp;ADDRESS(E9, 1, 1)):INDIRECT(A9&amp;ADDRESS(E10, 1, 1)), 2)</f>
        <v>0</v>
      </c>
    </row>
    <row r="14" spans="1:16" x14ac:dyDescent="0.25">
      <c r="B14" s="9">
        <f>D10</f>
        <v>3</v>
      </c>
      <c r="C14" s="9">
        <f>IF(COUNTIF(A27:A1027,"@*")=0,"No asterisk rooms",A13+10)</f>
        <v>60</v>
      </c>
      <c r="D14" s="9">
        <f>A5</f>
        <v>114</v>
      </c>
      <c r="E14" s="9">
        <f>IF(COUNTIF(A27:A1027,"@*")=0,"No asterisk rooms",A13+10)</f>
        <v>60</v>
      </c>
    </row>
    <row r="16" spans="1:16" x14ac:dyDescent="0.25">
      <c r="A16" s="7" t="s">
        <v>19</v>
      </c>
      <c r="H16" s="10"/>
      <c r="I16" s="15"/>
      <c r="K16" s="8" t="s">
        <v>9</v>
      </c>
    </row>
    <row r="17" spans="1:208" x14ac:dyDescent="0.25">
      <c r="A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38</v>
      </c>
      <c r="B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38</v>
      </c>
      <c r="C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39</v>
      </c>
      <c r="D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38</v>
      </c>
      <c r="E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38</v>
      </c>
      <c r="F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G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38</v>
      </c>
      <c r="H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32</v>
      </c>
      <c r="I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J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K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L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35</v>
      </c>
      <c r="M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35</v>
      </c>
      <c r="N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35</v>
      </c>
      <c r="O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P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Q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R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S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38</v>
      </c>
      <c r="T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38</v>
      </c>
      <c r="U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38</v>
      </c>
      <c r="V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W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X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Y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Z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AA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AB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35</v>
      </c>
      <c r="AC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35</v>
      </c>
      <c r="AD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AE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AF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AG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AH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AI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36</v>
      </c>
      <c r="AJ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31</v>
      </c>
      <c r="AK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AL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AM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AN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AO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AP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37</v>
      </c>
      <c r="AQ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34</v>
      </c>
      <c r="AR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AS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AT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AU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AV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AW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32</v>
      </c>
      <c r="AX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31</v>
      </c>
      <c r="AY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AZ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BA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BB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BC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BD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BE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35</v>
      </c>
      <c r="BF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34</v>
      </c>
      <c r="BG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34</v>
      </c>
      <c r="BH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34</v>
      </c>
      <c r="BI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34</v>
      </c>
      <c r="BJ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34</v>
      </c>
      <c r="BK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34</v>
      </c>
      <c r="BL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32</v>
      </c>
      <c r="BM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BN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BO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BP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BQ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BR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33</v>
      </c>
      <c r="BS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30</v>
      </c>
      <c r="BT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30</v>
      </c>
      <c r="BU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30</v>
      </c>
      <c r="BV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30</v>
      </c>
      <c r="BW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30</v>
      </c>
      <c r="BX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30</v>
      </c>
      <c r="BY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30</v>
      </c>
      <c r="BZ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CA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CB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CC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CD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CE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CF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CG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29</v>
      </c>
      <c r="CH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28</v>
      </c>
      <c r="CI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28</v>
      </c>
      <c r="CJ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28</v>
      </c>
      <c r="CK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28</v>
      </c>
      <c r="CL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28</v>
      </c>
      <c r="CM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28</v>
      </c>
      <c r="CN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27</v>
      </c>
      <c r="CO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27</v>
      </c>
      <c r="CP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27</v>
      </c>
      <c r="CQ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27</v>
      </c>
      <c r="CR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27</v>
      </c>
      <c r="CS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27</v>
      </c>
      <c r="CT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27</v>
      </c>
      <c r="CU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25</v>
      </c>
      <c r="CV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18</v>
      </c>
      <c r="CW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18</v>
      </c>
      <c r="CX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18</v>
      </c>
      <c r="CY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18</v>
      </c>
      <c r="CZ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18</v>
      </c>
      <c r="DA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18</v>
      </c>
      <c r="DB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18</v>
      </c>
      <c r="DC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17</v>
      </c>
      <c r="DD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17</v>
      </c>
      <c r="DE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17</v>
      </c>
      <c r="DF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17</v>
      </c>
      <c r="DG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17</v>
      </c>
      <c r="DH17" s="8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>17</v>
      </c>
      <c r="DI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J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K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L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M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N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O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P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Q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R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S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T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U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V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W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X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Y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DZ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A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B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C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D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E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F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G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H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I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J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K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L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M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N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O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P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Q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R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S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T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U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V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W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X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Y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EZ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A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B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C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D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E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F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G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H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I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J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K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L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M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N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O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P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Q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R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S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T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U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V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W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X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Y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FZ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A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B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C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D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E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F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G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H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I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J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K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L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M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N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O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P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Q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R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S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T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U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V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W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X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Y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  <c r="GZ17" s="8" t="str">
        <f ca="1">IF(ColorFunction($H$16,INDIRECT($A$9&amp;ADDRESS($E$9,(COLUMN()+2),1)):INDIRECT($A$9&amp;ADDRESS($E$10,(COLUMN()+2))),FALSE)=0,"",ColorFunction($H$16,INDIRECT($A$9&amp;ADDRESS($E$9,(COLUMN()+2),1)):INDIRECT($A$9&amp;ADDRESS($E$10,(COLUMN()+2))),FALSE))</f>
        <v/>
      </c>
    </row>
    <row r="18" spans="1:208" s="25" customFormat="1" x14ac:dyDescent="0.25">
      <c r="A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H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I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J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K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L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M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N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O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P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Q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R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S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T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U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V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W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X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Y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Z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A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B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C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D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E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F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G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H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I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J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K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L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M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N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O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P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Q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R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S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T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U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V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W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X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Y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AZ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A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B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C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D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E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F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G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H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I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J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K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L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M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N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O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P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Q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R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S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T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U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V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W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X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Y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BZ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A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B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C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D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E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F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G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H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I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J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K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L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M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N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O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P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Q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R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S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T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U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V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W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X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Y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CZ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A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B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C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D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E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F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G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H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I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J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K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L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M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N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O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P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Q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R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S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T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U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V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W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X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Y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DZ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A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B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C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D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E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F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G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H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I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J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K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L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M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N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O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P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Q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R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S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T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U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V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W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X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Y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EZ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A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B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C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D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E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F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G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H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I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J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K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L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M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N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O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P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Q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R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S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T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U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V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W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X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Y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FZ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A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B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C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D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E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F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G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H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I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J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K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L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M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N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O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P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Q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R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S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T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U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V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W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X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Y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  <c r="GZ18" s="25" t="str">
        <f ca="1">IF(ColorFunction($I$16,INDIRECT($A$9&amp;ADDRESS($E$9,(COLUMN()+2),1)):INDIRECT($A$9&amp;ADDRESS($E$10,(COLUMN()+2))),FALSE)=0,"0",ColorFunction($I$16,INDIRECT($A$9&amp;ADDRESS($E$9,(COLUMN()+2),1)):INDIRECT($A$9&amp;ADDRESS($E$10,(COLUMN()+2))),FALSE))</f>
        <v>0</v>
      </c>
    </row>
    <row r="19" spans="1:208" x14ac:dyDescent="0.25">
      <c r="A19" s="8">
        <f ca="1">IFERROR(A17+A18, "")</f>
        <v>38</v>
      </c>
      <c r="B19" s="8">
        <f t="shared" ref="B19:BM19" ca="1" si="0">IFERROR(B17+B18, "")</f>
        <v>38</v>
      </c>
      <c r="C19" s="8">
        <f t="shared" ca="1" si="0"/>
        <v>39</v>
      </c>
      <c r="D19" s="8">
        <f t="shared" ca="1" si="0"/>
        <v>38</v>
      </c>
      <c r="E19" s="8">
        <f t="shared" ca="1" si="0"/>
        <v>38</v>
      </c>
      <c r="F19" s="8">
        <f t="shared" ca="1" si="0"/>
        <v>37</v>
      </c>
      <c r="G19" s="8">
        <f t="shared" ca="1" si="0"/>
        <v>38</v>
      </c>
      <c r="H19" s="8">
        <f t="shared" ca="1" si="0"/>
        <v>32</v>
      </c>
      <c r="I19" s="8">
        <f t="shared" ca="1" si="0"/>
        <v>37</v>
      </c>
      <c r="J19" s="8">
        <f t="shared" ca="1" si="0"/>
        <v>36</v>
      </c>
      <c r="K19" s="8">
        <f t="shared" ca="1" si="0"/>
        <v>36</v>
      </c>
      <c r="L19" s="8">
        <f t="shared" ca="1" si="0"/>
        <v>35</v>
      </c>
      <c r="M19" s="8">
        <f t="shared" ca="1" si="0"/>
        <v>35</v>
      </c>
      <c r="N19" s="8">
        <f t="shared" ca="1" si="0"/>
        <v>35</v>
      </c>
      <c r="O19" s="8">
        <f t="shared" ca="1" si="0"/>
        <v>36</v>
      </c>
      <c r="P19" s="8">
        <f t="shared" ca="1" si="0"/>
        <v>36</v>
      </c>
      <c r="Q19" s="8">
        <f t="shared" ca="1" si="0"/>
        <v>37</v>
      </c>
      <c r="R19" s="8">
        <f t="shared" ca="1" si="0"/>
        <v>37</v>
      </c>
      <c r="S19" s="8">
        <f t="shared" ca="1" si="0"/>
        <v>38</v>
      </c>
      <c r="T19" s="8">
        <f t="shared" ca="1" si="0"/>
        <v>38</v>
      </c>
      <c r="U19" s="8">
        <f t="shared" ca="1" si="0"/>
        <v>38</v>
      </c>
      <c r="V19" s="8">
        <f t="shared" ca="1" si="0"/>
        <v>37</v>
      </c>
      <c r="W19" s="8">
        <f t="shared" ca="1" si="0"/>
        <v>37</v>
      </c>
      <c r="X19" s="8">
        <f t="shared" ca="1" si="0"/>
        <v>36</v>
      </c>
      <c r="Y19" s="8">
        <f t="shared" ca="1" si="0"/>
        <v>36</v>
      </c>
      <c r="Z19" s="8">
        <f t="shared" ca="1" si="0"/>
        <v>36</v>
      </c>
      <c r="AA19" s="8">
        <f t="shared" ca="1" si="0"/>
        <v>36</v>
      </c>
      <c r="AB19" s="8">
        <f t="shared" ca="1" si="0"/>
        <v>35</v>
      </c>
      <c r="AC19" s="8">
        <f t="shared" ca="1" si="0"/>
        <v>35</v>
      </c>
      <c r="AD19" s="8">
        <f t="shared" ca="1" si="0"/>
        <v>37</v>
      </c>
      <c r="AE19" s="8">
        <f t="shared" ca="1" si="0"/>
        <v>37</v>
      </c>
      <c r="AF19" s="8">
        <f t="shared" ca="1" si="0"/>
        <v>36</v>
      </c>
      <c r="AG19" s="8">
        <f t="shared" ca="1" si="0"/>
        <v>36</v>
      </c>
      <c r="AH19" s="8">
        <f t="shared" ca="1" si="0"/>
        <v>36</v>
      </c>
      <c r="AI19" s="8">
        <f t="shared" ca="1" si="0"/>
        <v>36</v>
      </c>
      <c r="AJ19" s="8">
        <f t="shared" ca="1" si="0"/>
        <v>31</v>
      </c>
      <c r="AK19" s="8">
        <f t="shared" ca="1" si="0"/>
        <v>37</v>
      </c>
      <c r="AL19" s="8">
        <f t="shared" ca="1" si="0"/>
        <v>37</v>
      </c>
      <c r="AM19" s="8">
        <f t="shared" ca="1" si="0"/>
        <v>37</v>
      </c>
      <c r="AN19" s="8">
        <f t="shared" ca="1" si="0"/>
        <v>37</v>
      </c>
      <c r="AO19" s="8">
        <f t="shared" ca="1" si="0"/>
        <v>37</v>
      </c>
      <c r="AP19" s="8">
        <f t="shared" ca="1" si="0"/>
        <v>37</v>
      </c>
      <c r="AQ19" s="8">
        <f t="shared" ca="1" si="0"/>
        <v>34</v>
      </c>
      <c r="AR19" s="8">
        <f t="shared" ca="1" si="0"/>
        <v>33</v>
      </c>
      <c r="AS19" s="8">
        <f t="shared" ca="1" si="0"/>
        <v>33</v>
      </c>
      <c r="AT19" s="8">
        <f t="shared" ca="1" si="0"/>
        <v>33</v>
      </c>
      <c r="AU19" s="8">
        <f t="shared" ca="1" si="0"/>
        <v>33</v>
      </c>
      <c r="AV19" s="8">
        <f t="shared" ca="1" si="0"/>
        <v>33</v>
      </c>
      <c r="AW19" s="8">
        <f t="shared" ca="1" si="0"/>
        <v>32</v>
      </c>
      <c r="AX19" s="8">
        <f t="shared" ca="1" si="0"/>
        <v>31</v>
      </c>
      <c r="AY19" s="8">
        <f t="shared" ca="1" si="0"/>
        <v>29</v>
      </c>
      <c r="AZ19" s="8">
        <f t="shared" ca="1" si="0"/>
        <v>29</v>
      </c>
      <c r="BA19" s="8">
        <f t="shared" ca="1" si="0"/>
        <v>29</v>
      </c>
      <c r="BB19" s="8">
        <f t="shared" ca="1" si="0"/>
        <v>29</v>
      </c>
      <c r="BC19" s="8">
        <f t="shared" ca="1" si="0"/>
        <v>29</v>
      </c>
      <c r="BD19" s="8">
        <f t="shared" ca="1" si="0"/>
        <v>29</v>
      </c>
      <c r="BE19" s="8">
        <f t="shared" ca="1" si="0"/>
        <v>35</v>
      </c>
      <c r="BF19" s="8">
        <f t="shared" ca="1" si="0"/>
        <v>34</v>
      </c>
      <c r="BG19" s="8">
        <f t="shared" ca="1" si="0"/>
        <v>34</v>
      </c>
      <c r="BH19" s="8">
        <f t="shared" ca="1" si="0"/>
        <v>34</v>
      </c>
      <c r="BI19" s="8">
        <f t="shared" ca="1" si="0"/>
        <v>34</v>
      </c>
      <c r="BJ19" s="8">
        <f t="shared" ca="1" si="0"/>
        <v>34</v>
      </c>
      <c r="BK19" s="8">
        <f t="shared" ca="1" si="0"/>
        <v>34</v>
      </c>
      <c r="BL19" s="8">
        <f t="shared" ca="1" si="0"/>
        <v>32</v>
      </c>
      <c r="BM19" s="8">
        <f t="shared" ca="1" si="0"/>
        <v>33</v>
      </c>
      <c r="BN19" s="8">
        <f t="shared" ref="BN19:DY19" ca="1" si="1">IFERROR(BN17+BN18, "")</f>
        <v>33</v>
      </c>
      <c r="BO19" s="8">
        <f t="shared" ca="1" si="1"/>
        <v>33</v>
      </c>
      <c r="BP19" s="8">
        <f t="shared" ca="1" si="1"/>
        <v>33</v>
      </c>
      <c r="BQ19" s="8">
        <f t="shared" ca="1" si="1"/>
        <v>33</v>
      </c>
      <c r="BR19" s="8">
        <f t="shared" ca="1" si="1"/>
        <v>33</v>
      </c>
      <c r="BS19" s="8">
        <f t="shared" ca="1" si="1"/>
        <v>30</v>
      </c>
      <c r="BT19" s="8">
        <f t="shared" ca="1" si="1"/>
        <v>30</v>
      </c>
      <c r="BU19" s="8">
        <f t="shared" ca="1" si="1"/>
        <v>30</v>
      </c>
      <c r="BV19" s="8">
        <f t="shared" ca="1" si="1"/>
        <v>30</v>
      </c>
      <c r="BW19" s="8">
        <f t="shared" ca="1" si="1"/>
        <v>30</v>
      </c>
      <c r="BX19" s="8">
        <f t="shared" ca="1" si="1"/>
        <v>30</v>
      </c>
      <c r="BY19" s="8">
        <f t="shared" ca="1" si="1"/>
        <v>30</v>
      </c>
      <c r="BZ19" s="8">
        <f t="shared" ca="1" si="1"/>
        <v>29</v>
      </c>
      <c r="CA19" s="8">
        <f t="shared" ca="1" si="1"/>
        <v>29</v>
      </c>
      <c r="CB19" s="8">
        <f t="shared" ca="1" si="1"/>
        <v>29</v>
      </c>
      <c r="CC19" s="8">
        <f t="shared" ca="1" si="1"/>
        <v>29</v>
      </c>
      <c r="CD19" s="8">
        <f t="shared" ca="1" si="1"/>
        <v>29</v>
      </c>
      <c r="CE19" s="8">
        <f t="shared" ca="1" si="1"/>
        <v>29</v>
      </c>
      <c r="CF19" s="8">
        <f t="shared" ca="1" si="1"/>
        <v>29</v>
      </c>
      <c r="CG19" s="8">
        <f t="shared" ca="1" si="1"/>
        <v>29</v>
      </c>
      <c r="CH19" s="8">
        <f t="shared" ca="1" si="1"/>
        <v>28</v>
      </c>
      <c r="CI19" s="8">
        <f t="shared" ca="1" si="1"/>
        <v>28</v>
      </c>
      <c r="CJ19" s="8">
        <f t="shared" ca="1" si="1"/>
        <v>28</v>
      </c>
      <c r="CK19" s="8">
        <f t="shared" ca="1" si="1"/>
        <v>28</v>
      </c>
      <c r="CL19" s="8">
        <f t="shared" ca="1" si="1"/>
        <v>28</v>
      </c>
      <c r="CM19" s="8">
        <f t="shared" ca="1" si="1"/>
        <v>28</v>
      </c>
      <c r="CN19" s="8">
        <f t="shared" ca="1" si="1"/>
        <v>27</v>
      </c>
      <c r="CO19" s="8">
        <f t="shared" ca="1" si="1"/>
        <v>27</v>
      </c>
      <c r="CP19" s="8">
        <f t="shared" ca="1" si="1"/>
        <v>27</v>
      </c>
      <c r="CQ19" s="8">
        <f t="shared" ca="1" si="1"/>
        <v>27</v>
      </c>
      <c r="CR19" s="8">
        <f t="shared" ca="1" si="1"/>
        <v>27</v>
      </c>
      <c r="CS19" s="8">
        <f t="shared" ca="1" si="1"/>
        <v>27</v>
      </c>
      <c r="CT19" s="8">
        <f t="shared" ca="1" si="1"/>
        <v>27</v>
      </c>
      <c r="CU19" s="8">
        <f t="shared" ca="1" si="1"/>
        <v>25</v>
      </c>
      <c r="CV19" s="8">
        <f t="shared" ca="1" si="1"/>
        <v>18</v>
      </c>
      <c r="CW19" s="8">
        <f t="shared" ca="1" si="1"/>
        <v>18</v>
      </c>
      <c r="CX19" s="8">
        <f t="shared" ca="1" si="1"/>
        <v>18</v>
      </c>
      <c r="CY19" s="8">
        <f t="shared" ca="1" si="1"/>
        <v>18</v>
      </c>
      <c r="CZ19" s="8">
        <f t="shared" ca="1" si="1"/>
        <v>18</v>
      </c>
      <c r="DA19" s="8">
        <f t="shared" ca="1" si="1"/>
        <v>18</v>
      </c>
      <c r="DB19" s="8">
        <f t="shared" ca="1" si="1"/>
        <v>18</v>
      </c>
      <c r="DC19" s="8">
        <f t="shared" ca="1" si="1"/>
        <v>17</v>
      </c>
      <c r="DD19" s="8">
        <f t="shared" ca="1" si="1"/>
        <v>17</v>
      </c>
      <c r="DE19" s="8">
        <f t="shared" ca="1" si="1"/>
        <v>17</v>
      </c>
      <c r="DF19" s="8">
        <f t="shared" ca="1" si="1"/>
        <v>17</v>
      </c>
      <c r="DG19" s="8">
        <f t="shared" ca="1" si="1"/>
        <v>17</v>
      </c>
      <c r="DH19" s="8">
        <f t="shared" ca="1" si="1"/>
        <v>17</v>
      </c>
      <c r="DI19" s="8" t="str">
        <f t="shared" ca="1" si="1"/>
        <v/>
      </c>
      <c r="DJ19" s="8" t="str">
        <f t="shared" ca="1" si="1"/>
        <v/>
      </c>
      <c r="DK19" s="8" t="str">
        <f t="shared" ca="1" si="1"/>
        <v/>
      </c>
      <c r="DL19" s="8" t="str">
        <f t="shared" ca="1" si="1"/>
        <v/>
      </c>
      <c r="DM19" s="8" t="str">
        <f t="shared" ca="1" si="1"/>
        <v/>
      </c>
      <c r="DN19" s="8" t="str">
        <f t="shared" ca="1" si="1"/>
        <v/>
      </c>
      <c r="DO19" s="8" t="str">
        <f t="shared" ca="1" si="1"/>
        <v/>
      </c>
      <c r="DP19" s="8" t="str">
        <f t="shared" ca="1" si="1"/>
        <v/>
      </c>
      <c r="DQ19" s="8" t="str">
        <f t="shared" ca="1" si="1"/>
        <v/>
      </c>
      <c r="DR19" s="8" t="str">
        <f t="shared" ca="1" si="1"/>
        <v/>
      </c>
      <c r="DS19" s="8" t="str">
        <f t="shared" ca="1" si="1"/>
        <v/>
      </c>
      <c r="DT19" s="8" t="str">
        <f t="shared" ca="1" si="1"/>
        <v/>
      </c>
      <c r="DU19" s="8" t="str">
        <f t="shared" ca="1" si="1"/>
        <v/>
      </c>
      <c r="DV19" s="8" t="str">
        <f t="shared" ca="1" si="1"/>
        <v/>
      </c>
      <c r="DW19" s="8" t="str">
        <f t="shared" ca="1" si="1"/>
        <v/>
      </c>
      <c r="DX19" s="8" t="str">
        <f t="shared" ca="1" si="1"/>
        <v/>
      </c>
      <c r="DY19" s="8" t="str">
        <f t="shared" ca="1" si="1"/>
        <v/>
      </c>
      <c r="DZ19" s="8" t="str">
        <f t="shared" ref="DZ19:GK19" ca="1" si="2">IFERROR(DZ17+DZ18, "")</f>
        <v/>
      </c>
      <c r="EA19" s="8" t="str">
        <f t="shared" ca="1" si="2"/>
        <v/>
      </c>
      <c r="EB19" s="8" t="str">
        <f t="shared" ca="1" si="2"/>
        <v/>
      </c>
      <c r="EC19" s="8" t="str">
        <f t="shared" ca="1" si="2"/>
        <v/>
      </c>
      <c r="ED19" s="8" t="str">
        <f t="shared" ca="1" si="2"/>
        <v/>
      </c>
      <c r="EE19" s="8" t="str">
        <f t="shared" ca="1" si="2"/>
        <v/>
      </c>
      <c r="EF19" s="8" t="str">
        <f t="shared" ca="1" si="2"/>
        <v/>
      </c>
      <c r="EG19" s="8" t="str">
        <f t="shared" ca="1" si="2"/>
        <v/>
      </c>
      <c r="EH19" s="8" t="str">
        <f t="shared" ca="1" si="2"/>
        <v/>
      </c>
      <c r="EI19" s="8" t="str">
        <f t="shared" ca="1" si="2"/>
        <v/>
      </c>
      <c r="EJ19" s="8" t="str">
        <f t="shared" ca="1" si="2"/>
        <v/>
      </c>
      <c r="EK19" s="8" t="str">
        <f t="shared" ca="1" si="2"/>
        <v/>
      </c>
      <c r="EL19" s="8" t="str">
        <f t="shared" ca="1" si="2"/>
        <v/>
      </c>
      <c r="EM19" s="8" t="str">
        <f t="shared" ca="1" si="2"/>
        <v/>
      </c>
      <c r="EN19" s="8" t="str">
        <f t="shared" ca="1" si="2"/>
        <v/>
      </c>
      <c r="EO19" s="8" t="str">
        <f t="shared" ca="1" si="2"/>
        <v/>
      </c>
      <c r="EP19" s="8" t="str">
        <f t="shared" ca="1" si="2"/>
        <v/>
      </c>
      <c r="EQ19" s="8" t="str">
        <f t="shared" ca="1" si="2"/>
        <v/>
      </c>
      <c r="ER19" s="8" t="str">
        <f t="shared" ca="1" si="2"/>
        <v/>
      </c>
      <c r="ES19" s="8" t="str">
        <f t="shared" ca="1" si="2"/>
        <v/>
      </c>
      <c r="ET19" s="8" t="str">
        <f t="shared" ca="1" si="2"/>
        <v/>
      </c>
      <c r="EU19" s="8" t="str">
        <f t="shared" ca="1" si="2"/>
        <v/>
      </c>
      <c r="EV19" s="8" t="str">
        <f t="shared" ca="1" si="2"/>
        <v/>
      </c>
      <c r="EW19" s="8" t="str">
        <f t="shared" ca="1" si="2"/>
        <v/>
      </c>
      <c r="EX19" s="8" t="str">
        <f t="shared" ca="1" si="2"/>
        <v/>
      </c>
      <c r="EY19" s="8" t="str">
        <f t="shared" ca="1" si="2"/>
        <v/>
      </c>
      <c r="EZ19" s="8" t="str">
        <f t="shared" ca="1" si="2"/>
        <v/>
      </c>
      <c r="FA19" s="8" t="str">
        <f t="shared" ca="1" si="2"/>
        <v/>
      </c>
      <c r="FB19" s="8" t="str">
        <f t="shared" ca="1" si="2"/>
        <v/>
      </c>
      <c r="FC19" s="8" t="str">
        <f t="shared" ca="1" si="2"/>
        <v/>
      </c>
      <c r="FD19" s="8" t="str">
        <f t="shared" ca="1" si="2"/>
        <v/>
      </c>
      <c r="FE19" s="8" t="str">
        <f t="shared" ca="1" si="2"/>
        <v/>
      </c>
      <c r="FF19" s="8" t="str">
        <f t="shared" ca="1" si="2"/>
        <v/>
      </c>
      <c r="FG19" s="8" t="str">
        <f t="shared" ca="1" si="2"/>
        <v/>
      </c>
      <c r="FH19" s="8" t="str">
        <f t="shared" ca="1" si="2"/>
        <v/>
      </c>
      <c r="FI19" s="8" t="str">
        <f t="shared" ca="1" si="2"/>
        <v/>
      </c>
      <c r="FJ19" s="8" t="str">
        <f t="shared" ca="1" si="2"/>
        <v/>
      </c>
      <c r="FK19" s="8" t="str">
        <f t="shared" ca="1" si="2"/>
        <v/>
      </c>
      <c r="FL19" s="8" t="str">
        <f t="shared" ca="1" si="2"/>
        <v/>
      </c>
      <c r="FM19" s="8" t="str">
        <f t="shared" ca="1" si="2"/>
        <v/>
      </c>
      <c r="FN19" s="8" t="str">
        <f t="shared" ca="1" si="2"/>
        <v/>
      </c>
      <c r="FO19" s="8" t="str">
        <f t="shared" ca="1" si="2"/>
        <v/>
      </c>
      <c r="FP19" s="8" t="str">
        <f t="shared" ca="1" si="2"/>
        <v/>
      </c>
      <c r="FQ19" s="8" t="str">
        <f t="shared" ca="1" si="2"/>
        <v/>
      </c>
      <c r="FR19" s="8" t="str">
        <f t="shared" ca="1" si="2"/>
        <v/>
      </c>
      <c r="FS19" s="8" t="str">
        <f t="shared" ca="1" si="2"/>
        <v/>
      </c>
      <c r="FT19" s="8" t="str">
        <f t="shared" ca="1" si="2"/>
        <v/>
      </c>
      <c r="FU19" s="8" t="str">
        <f t="shared" ca="1" si="2"/>
        <v/>
      </c>
      <c r="FV19" s="8" t="str">
        <f t="shared" ca="1" si="2"/>
        <v/>
      </c>
      <c r="FW19" s="8" t="str">
        <f t="shared" ca="1" si="2"/>
        <v/>
      </c>
      <c r="FX19" s="8" t="str">
        <f t="shared" ca="1" si="2"/>
        <v/>
      </c>
      <c r="FY19" s="8" t="str">
        <f t="shared" ca="1" si="2"/>
        <v/>
      </c>
      <c r="FZ19" s="8" t="str">
        <f t="shared" ca="1" si="2"/>
        <v/>
      </c>
      <c r="GA19" s="8" t="str">
        <f t="shared" ca="1" si="2"/>
        <v/>
      </c>
      <c r="GB19" s="8" t="str">
        <f t="shared" ca="1" si="2"/>
        <v/>
      </c>
      <c r="GC19" s="8" t="str">
        <f t="shared" ca="1" si="2"/>
        <v/>
      </c>
      <c r="GD19" s="8" t="str">
        <f t="shared" ca="1" si="2"/>
        <v/>
      </c>
      <c r="GE19" s="8" t="str">
        <f t="shared" ca="1" si="2"/>
        <v/>
      </c>
      <c r="GF19" s="8" t="str">
        <f t="shared" ca="1" si="2"/>
        <v/>
      </c>
      <c r="GG19" s="8" t="str">
        <f t="shared" ca="1" si="2"/>
        <v/>
      </c>
      <c r="GH19" s="8" t="str">
        <f t="shared" ca="1" si="2"/>
        <v/>
      </c>
      <c r="GI19" s="8" t="str">
        <f t="shared" ca="1" si="2"/>
        <v/>
      </c>
      <c r="GJ19" s="8" t="str">
        <f t="shared" ca="1" si="2"/>
        <v/>
      </c>
      <c r="GK19" s="8" t="str">
        <f t="shared" ca="1" si="2"/>
        <v/>
      </c>
      <c r="GL19" s="8" t="str">
        <f t="shared" ref="GL19:GZ19" ca="1" si="3">IFERROR(GL17+GL18, "")</f>
        <v/>
      </c>
      <c r="GM19" s="8" t="str">
        <f t="shared" ca="1" si="3"/>
        <v/>
      </c>
      <c r="GN19" s="8" t="str">
        <f t="shared" ca="1" si="3"/>
        <v/>
      </c>
      <c r="GO19" s="8" t="str">
        <f t="shared" ca="1" si="3"/>
        <v/>
      </c>
      <c r="GP19" s="8" t="str">
        <f t="shared" ca="1" si="3"/>
        <v/>
      </c>
      <c r="GQ19" s="8" t="str">
        <f t="shared" ca="1" si="3"/>
        <v/>
      </c>
      <c r="GR19" s="8" t="str">
        <f t="shared" ca="1" si="3"/>
        <v/>
      </c>
      <c r="GS19" s="8" t="str">
        <f t="shared" ca="1" si="3"/>
        <v/>
      </c>
      <c r="GT19" s="8" t="str">
        <f t="shared" ca="1" si="3"/>
        <v/>
      </c>
      <c r="GU19" s="8" t="str">
        <f t="shared" ca="1" si="3"/>
        <v/>
      </c>
      <c r="GV19" s="8" t="str">
        <f t="shared" ca="1" si="3"/>
        <v/>
      </c>
      <c r="GW19" s="8" t="str">
        <f t="shared" ca="1" si="3"/>
        <v/>
      </c>
      <c r="GX19" s="8" t="str">
        <f t="shared" ca="1" si="3"/>
        <v/>
      </c>
      <c r="GY19" s="8" t="str">
        <f t="shared" ca="1" si="3"/>
        <v/>
      </c>
      <c r="GZ19" s="8" t="str">
        <f t="shared" ca="1" si="3"/>
        <v/>
      </c>
    </row>
    <row r="21" spans="1:208" x14ac:dyDescent="0.25">
      <c r="A21" s="7" t="s">
        <v>3</v>
      </c>
      <c r="H21" s="11"/>
    </row>
    <row r="22" spans="1:208" x14ac:dyDescent="0.25">
      <c r="A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8</v>
      </c>
      <c r="B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8</v>
      </c>
      <c r="C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7</v>
      </c>
      <c r="D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7</v>
      </c>
      <c r="E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7</v>
      </c>
      <c r="F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8</v>
      </c>
      <c r="G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8</v>
      </c>
      <c r="H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14</v>
      </c>
      <c r="I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12</v>
      </c>
      <c r="J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K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L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M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N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O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12</v>
      </c>
      <c r="P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12</v>
      </c>
      <c r="Q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12</v>
      </c>
      <c r="R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12</v>
      </c>
      <c r="S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11</v>
      </c>
      <c r="T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11</v>
      </c>
      <c r="U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11</v>
      </c>
      <c r="V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12</v>
      </c>
      <c r="W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12</v>
      </c>
      <c r="X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Y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Z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A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B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14</v>
      </c>
      <c r="AC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14</v>
      </c>
      <c r="AD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E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F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14</v>
      </c>
      <c r="AG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14</v>
      </c>
      <c r="AH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14</v>
      </c>
      <c r="AI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14</v>
      </c>
      <c r="AJ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19</v>
      </c>
      <c r="AK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L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M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N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O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P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13</v>
      </c>
      <c r="AQ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16</v>
      </c>
      <c r="AR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AS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AT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AU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AV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AW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18</v>
      </c>
      <c r="AX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19</v>
      </c>
      <c r="AY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AZ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BA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BB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BC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BD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BE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15</v>
      </c>
      <c r="BF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16</v>
      </c>
      <c r="BG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16</v>
      </c>
      <c r="BH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16</v>
      </c>
      <c r="BI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16</v>
      </c>
      <c r="BJ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16</v>
      </c>
      <c r="BK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16</v>
      </c>
      <c r="BL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18</v>
      </c>
      <c r="BM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BN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BO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BP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BQ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BR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17</v>
      </c>
      <c r="BS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20</v>
      </c>
      <c r="BT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20</v>
      </c>
      <c r="BU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20</v>
      </c>
      <c r="BV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20</v>
      </c>
      <c r="BW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20</v>
      </c>
      <c r="BX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20</v>
      </c>
      <c r="BY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20</v>
      </c>
      <c r="BZ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CA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CB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CC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CD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CE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CF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CG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21</v>
      </c>
      <c r="CH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22</v>
      </c>
      <c r="CI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22</v>
      </c>
      <c r="CJ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22</v>
      </c>
      <c r="CK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22</v>
      </c>
      <c r="CL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22</v>
      </c>
      <c r="CM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22</v>
      </c>
      <c r="CN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23</v>
      </c>
      <c r="CO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23</v>
      </c>
      <c r="CP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23</v>
      </c>
      <c r="CQ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23</v>
      </c>
      <c r="CR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23</v>
      </c>
      <c r="CS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23</v>
      </c>
      <c r="CT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23</v>
      </c>
      <c r="CU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25</v>
      </c>
      <c r="CV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32</v>
      </c>
      <c r="CW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32</v>
      </c>
      <c r="CX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32</v>
      </c>
      <c r="CY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32</v>
      </c>
      <c r="CZ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32</v>
      </c>
      <c r="DA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32</v>
      </c>
      <c r="DB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32</v>
      </c>
      <c r="DC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33</v>
      </c>
      <c r="DD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33</v>
      </c>
      <c r="DE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33</v>
      </c>
      <c r="DF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33</v>
      </c>
      <c r="DG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33</v>
      </c>
      <c r="DH22" s="8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>33</v>
      </c>
      <c r="DI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J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K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L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M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N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O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P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Q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R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S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T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U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V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W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X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Y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DZ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A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B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C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D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E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F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G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H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I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J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K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L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M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N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O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P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Q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R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S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T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U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V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W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X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Y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EZ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A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B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C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D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E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F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G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H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I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J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K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L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M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N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O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P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Q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R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S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T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U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V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W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X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Y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FZ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A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B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C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D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E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F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G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H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I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J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K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L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M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N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O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P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Q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R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S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T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U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V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W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X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Y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  <c r="GZ22" s="8" t="str">
        <f ca="1">IF(ColorFunction($H$21,INDIRECT($A$9&amp;ADDRESS($E$9,(COLUMN()+2),1)):INDIRECT($A$9&amp;ADDRESS($E$10,(COLUMN()+2))),FALSE)=$L$13,"",ColorFunction($H$21,INDIRECT($A$9&amp;ADDRESS($E$9,(COLUMN()+2),1)):INDIRECT($A$9&amp;ADDRESS($E$10,(COLUMN()+2))),FALSE))</f>
        <v/>
      </c>
    </row>
    <row r="24" spans="1:208" x14ac:dyDescent="0.25">
      <c r="A24" s="7" t="s">
        <v>7</v>
      </c>
      <c r="H24" s="12"/>
    </row>
    <row r="25" spans="1:208" x14ac:dyDescent="0.25">
      <c r="A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4</v>
      </c>
      <c r="B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4</v>
      </c>
      <c r="C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4</v>
      </c>
      <c r="D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5</v>
      </c>
      <c r="E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5</v>
      </c>
      <c r="F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5</v>
      </c>
      <c r="G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4</v>
      </c>
      <c r="H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4</v>
      </c>
      <c r="I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J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K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L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2</v>
      </c>
      <c r="M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2</v>
      </c>
      <c r="N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2</v>
      </c>
      <c r="O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2</v>
      </c>
      <c r="P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2</v>
      </c>
      <c r="Q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R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S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T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U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V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W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X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Y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Z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AA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AB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AC25" s="8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>1</v>
      </c>
      <c r="AD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E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F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G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H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I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J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K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L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M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N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O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P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Q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R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S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T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U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V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W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X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Y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AZ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A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B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C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D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E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F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G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H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I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J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K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L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M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N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O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P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Q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R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S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T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U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V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W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X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Y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BZ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A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B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C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D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E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F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G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H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I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J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K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L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M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N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O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P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Q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R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S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T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U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V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W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X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Y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CZ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A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B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C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D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E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F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G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H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I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J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K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L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M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N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O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P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Q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R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S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T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U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V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W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X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Y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DZ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A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B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C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D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E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F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G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H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I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J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K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L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M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N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O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P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Q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R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S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T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U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V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W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X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Y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EZ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A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B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C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D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E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F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G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H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I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J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K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L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M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N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O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P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Q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R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S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T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U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V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W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X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Y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FZ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A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B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C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D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E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F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G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H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I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J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K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L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M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N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O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P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Q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R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S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T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U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V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W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X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Y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  <c r="GZ25" s="8" t="str">
        <f ca="1">IF(ColorFunction($H$24,INDIRECT($A$9&amp;ADDRESS($E$9,(COLUMN()+2),1)):INDIRECT($A$9&amp;ADDRESS($E$10,(COLUMN()+2))),FALSE)=0,"",ColorFunction($H$24,INDIRECT($A$9&amp;ADDRESS($E$9,(COLUMN()+2),1)):INDIRECT($A$9&amp;ADDRESS($E$10,(COLUMN()+2))),FALSE))</f>
        <v/>
      </c>
    </row>
    <row r="27" spans="1:208" x14ac:dyDescent="0.25">
      <c r="A27" s="8" t="str">
        <f>SUBSTITUTE('PASTE RAW DATA HERE'!B11, "*", "@")</f>
        <v>@A01/A</v>
      </c>
    </row>
    <row r="28" spans="1:208" x14ac:dyDescent="0.25">
      <c r="A28" s="8" t="str">
        <f>SUBSTITUTE('PASTE RAW DATA HERE'!B12, "*", "@")</f>
        <v>@A01/B</v>
      </c>
    </row>
    <row r="29" spans="1:208" x14ac:dyDescent="0.25">
      <c r="A29" s="8" t="str">
        <f>SUBSTITUTE('PASTE RAW DATA HERE'!B13, "*", "@")</f>
        <v>@A01/C</v>
      </c>
    </row>
    <row r="30" spans="1:208" x14ac:dyDescent="0.25">
      <c r="A30" s="8" t="str">
        <f>SUBSTITUTE('PASTE RAW DATA HERE'!B14, "*", "@")</f>
        <v>@A01/D</v>
      </c>
    </row>
    <row r="31" spans="1:208" x14ac:dyDescent="0.25">
      <c r="A31" s="8" t="str">
        <f>SUBSTITUTE('PASTE RAW DATA HERE'!B15, "*", "@")</f>
        <v>@A01/E</v>
      </c>
    </row>
    <row r="32" spans="1:208" x14ac:dyDescent="0.25">
      <c r="A32" s="8" t="str">
        <f>SUBSTITUTE('PASTE RAW DATA HERE'!B16, "*", "@")</f>
        <v>@A06/A</v>
      </c>
    </row>
    <row r="33" spans="1:1" x14ac:dyDescent="0.25">
      <c r="A33" s="8" t="str">
        <f>SUBSTITUTE('PASTE RAW DATA HERE'!B17, "*", "@")</f>
        <v>@A06/B</v>
      </c>
    </row>
    <row r="34" spans="1:1" x14ac:dyDescent="0.25">
      <c r="A34" s="8" t="str">
        <f>SUBSTITUTE('PASTE RAW DATA HERE'!B18, "*", "@")</f>
        <v>@A06/C</v>
      </c>
    </row>
    <row r="35" spans="1:1" x14ac:dyDescent="0.25">
      <c r="A35" s="8" t="str">
        <f>SUBSTITUTE('PASTE RAW DATA HERE'!B19, "*", "@")</f>
        <v>@A06/D</v>
      </c>
    </row>
    <row r="36" spans="1:1" x14ac:dyDescent="0.25">
      <c r="A36" s="8" t="str">
        <f>SUBSTITUTE('PASTE RAW DATA HERE'!B20, "*", "@")</f>
        <v>@A06/E</v>
      </c>
    </row>
    <row r="37" spans="1:1" x14ac:dyDescent="0.25">
      <c r="A37" s="8" t="str">
        <f>SUBSTITUTE('PASTE RAW DATA HERE'!B21, "*", "@")</f>
        <v>@A11/A</v>
      </c>
    </row>
    <row r="38" spans="1:1" x14ac:dyDescent="0.25">
      <c r="A38" s="8" t="str">
        <f>SUBSTITUTE('PASTE RAW DATA HERE'!B22, "*", "@")</f>
        <v>@A11/B</v>
      </c>
    </row>
    <row r="39" spans="1:1" x14ac:dyDescent="0.25">
      <c r="A39" s="8" t="str">
        <f>SUBSTITUTE('PASTE RAW DATA HERE'!B23, "*", "@")</f>
        <v>@A11/C</v>
      </c>
    </row>
    <row r="40" spans="1:1" x14ac:dyDescent="0.25">
      <c r="A40" s="8" t="str">
        <f>SUBSTITUTE('PASTE RAW DATA HERE'!B24, "*", "@")</f>
        <v>@A11/D</v>
      </c>
    </row>
    <row r="41" spans="1:1" x14ac:dyDescent="0.25">
      <c r="A41" s="8" t="str">
        <f>SUBSTITUTE('PASTE RAW DATA HERE'!B25, "*", "@")</f>
        <v>@A11/E</v>
      </c>
    </row>
    <row r="42" spans="1:1" x14ac:dyDescent="0.25">
      <c r="A42" s="8" t="str">
        <f>SUBSTITUTE('PASTE RAW DATA HERE'!B26, "*", "@")</f>
        <v>@A11/F</v>
      </c>
    </row>
    <row r="43" spans="1:1" x14ac:dyDescent="0.25">
      <c r="A43" s="8" t="str">
        <f>SUBSTITUTE('PASTE RAW DATA HERE'!B27, "*", "@")</f>
        <v>@A26/A</v>
      </c>
    </row>
    <row r="44" spans="1:1" x14ac:dyDescent="0.25">
      <c r="A44" s="8" t="str">
        <f>SUBSTITUTE('PASTE RAW DATA HERE'!B28, "*", "@")</f>
        <v>@A26/B</v>
      </c>
    </row>
    <row r="45" spans="1:1" x14ac:dyDescent="0.25">
      <c r="A45" s="8" t="str">
        <f>SUBSTITUTE('PASTE RAW DATA HERE'!B29, "*", "@")</f>
        <v>@A26/C</v>
      </c>
    </row>
    <row r="46" spans="1:1" x14ac:dyDescent="0.25">
      <c r="A46" s="8" t="str">
        <f>SUBSTITUTE('PASTE RAW DATA HERE'!B30, "*", "@")</f>
        <v>@A26/D</v>
      </c>
    </row>
    <row r="47" spans="1:1" x14ac:dyDescent="0.25">
      <c r="A47" s="8" t="str">
        <f>SUBSTITUTE('PASTE RAW DATA HERE'!B31, "*", "@")</f>
        <v>@A26/E</v>
      </c>
    </row>
    <row r="48" spans="1:1" x14ac:dyDescent="0.25">
      <c r="A48" s="8" t="str">
        <f>SUBSTITUTE('PASTE RAW DATA HERE'!B32, "*", "@")</f>
        <v>@A26/F</v>
      </c>
    </row>
    <row r="49" spans="1:1" x14ac:dyDescent="0.25">
      <c r="A49" s="8" t="str">
        <f>SUBSTITUTE('PASTE RAW DATA HERE'!B33, "*", "@")</f>
        <v>@A27/A</v>
      </c>
    </row>
    <row r="50" spans="1:1" x14ac:dyDescent="0.25">
      <c r="A50" s="8" t="str">
        <f>SUBSTITUTE('PASTE RAW DATA HERE'!B34, "*", "@")</f>
        <v>@A27/B</v>
      </c>
    </row>
    <row r="51" spans="1:1" x14ac:dyDescent="0.25">
      <c r="A51" s="8" t="str">
        <f>SUBSTITUTE('PASTE RAW DATA HERE'!B35, "*", "@")</f>
        <v>@A27/C</v>
      </c>
    </row>
    <row r="52" spans="1:1" x14ac:dyDescent="0.25">
      <c r="A52" s="8" t="str">
        <f>SUBSTITUTE('PASTE RAW DATA HERE'!B36, "*", "@")</f>
        <v>@A27/D</v>
      </c>
    </row>
    <row r="53" spans="1:1" x14ac:dyDescent="0.25">
      <c r="A53" s="8" t="str">
        <f>SUBSTITUTE('PASTE RAW DATA HERE'!B37, "*", "@")</f>
        <v>@A27/E</v>
      </c>
    </row>
    <row r="54" spans="1:1" x14ac:dyDescent="0.25">
      <c r="A54" s="8" t="str">
        <f>SUBSTITUTE('PASTE RAW DATA HERE'!B38, "*", "@")</f>
        <v>@A27/F</v>
      </c>
    </row>
    <row r="55" spans="1:1" x14ac:dyDescent="0.25">
      <c r="A55" s="8" t="str">
        <f>SUBSTITUTE('PASTE RAW DATA HERE'!B39, "*", "@")</f>
        <v>@A34/A</v>
      </c>
    </row>
    <row r="56" spans="1:1" x14ac:dyDescent="0.25">
      <c r="A56" s="8" t="str">
        <f>SUBSTITUTE('PASTE RAW DATA HERE'!B40, "*", "@")</f>
        <v>@A34/B</v>
      </c>
    </row>
    <row r="57" spans="1:1" x14ac:dyDescent="0.25">
      <c r="A57" s="8" t="str">
        <f>SUBSTITUTE('PASTE RAW DATA HERE'!B41, "*", "@")</f>
        <v>@A34/C</v>
      </c>
    </row>
    <row r="58" spans="1:1" x14ac:dyDescent="0.25">
      <c r="A58" s="8" t="str">
        <f>SUBSTITUTE('PASTE RAW DATA HERE'!B42, "*", "@")</f>
        <v>@A34/D</v>
      </c>
    </row>
    <row r="59" spans="1:1" x14ac:dyDescent="0.25">
      <c r="A59" s="8" t="str">
        <f>SUBSTITUTE('PASTE RAW DATA HERE'!B43, "*", "@")</f>
        <v>@A34/E</v>
      </c>
    </row>
    <row r="60" spans="1:1" x14ac:dyDescent="0.25">
      <c r="A60" s="8" t="str">
        <f>SUBSTITUTE('PASTE RAW DATA HERE'!B44, "*", "@")</f>
        <v>@A34/F</v>
      </c>
    </row>
    <row r="61" spans="1:1" x14ac:dyDescent="0.25">
      <c r="A61" s="8" t="str">
        <f>SUBSTITUTE('PASTE RAW DATA HERE'!B45, "*", "@")</f>
        <v>@A35/A</v>
      </c>
    </row>
    <row r="62" spans="1:1" x14ac:dyDescent="0.25">
      <c r="A62" s="8" t="str">
        <f>SUBSTITUTE('PASTE RAW DATA HERE'!B46, "*", "@")</f>
        <v>@A35/B</v>
      </c>
    </row>
    <row r="63" spans="1:1" x14ac:dyDescent="0.25">
      <c r="A63" s="8" t="str">
        <f>SUBSTITUTE('PASTE RAW DATA HERE'!B47, "*", "@")</f>
        <v>@A35/C</v>
      </c>
    </row>
    <row r="64" spans="1:1" x14ac:dyDescent="0.25">
      <c r="A64" s="8" t="str">
        <f>SUBSTITUTE('PASTE RAW DATA HERE'!B48, "*", "@")</f>
        <v>@A35/D</v>
      </c>
    </row>
    <row r="65" spans="1:1" x14ac:dyDescent="0.25">
      <c r="A65" s="8" t="str">
        <f>SUBSTITUTE('PASTE RAW DATA HERE'!B49, "*", "@")</f>
        <v>@A35/E</v>
      </c>
    </row>
    <row r="66" spans="1:1" x14ac:dyDescent="0.25">
      <c r="A66" s="8" t="str">
        <f>SUBSTITUTE('PASTE RAW DATA HERE'!B50, "*", "@")</f>
        <v>@A35/F</v>
      </c>
    </row>
    <row r="67" spans="1:1" x14ac:dyDescent="0.25">
      <c r="A67" s="8" t="str">
        <f>SUBSTITUTE('PASTE RAW DATA HERE'!B51, "*", "@")</f>
        <v>@A38/A</v>
      </c>
    </row>
    <row r="68" spans="1:1" x14ac:dyDescent="0.25">
      <c r="A68" s="8" t="str">
        <f>SUBSTITUTE('PASTE RAW DATA HERE'!B52, "*", "@")</f>
        <v>@A38/B</v>
      </c>
    </row>
    <row r="69" spans="1:1" x14ac:dyDescent="0.25">
      <c r="A69" s="8" t="str">
        <f>SUBSTITUTE('PASTE RAW DATA HERE'!B53, "*", "@")</f>
        <v>@A38/C</v>
      </c>
    </row>
    <row r="70" spans="1:1" x14ac:dyDescent="0.25">
      <c r="A70" s="8" t="str">
        <f>SUBSTITUTE('PASTE RAW DATA HERE'!B54, "*", "@")</f>
        <v>@A38/D</v>
      </c>
    </row>
    <row r="71" spans="1:1" x14ac:dyDescent="0.25">
      <c r="A71" s="8" t="str">
        <f>SUBSTITUTE('PASTE RAW DATA HERE'!B55, "*", "@")</f>
        <v>@A38/E</v>
      </c>
    </row>
    <row r="72" spans="1:1" x14ac:dyDescent="0.25">
      <c r="A72" s="8" t="str">
        <f>SUBSTITUTE('PASTE RAW DATA HERE'!B56, "*", "@")</f>
        <v>@A39/A</v>
      </c>
    </row>
    <row r="73" spans="1:1" x14ac:dyDescent="0.25">
      <c r="A73" s="8" t="str">
        <f>SUBSTITUTE('PASTE RAW DATA HERE'!B57, "*", "@")</f>
        <v>@A39/B</v>
      </c>
    </row>
    <row r="74" spans="1:1" x14ac:dyDescent="0.25">
      <c r="A74" s="8" t="str">
        <f>SUBSTITUTE('PASTE RAW DATA HERE'!B58, "*", "@")</f>
        <v>@A39/C</v>
      </c>
    </row>
    <row r="75" spans="1:1" x14ac:dyDescent="0.25">
      <c r="A75" s="8" t="str">
        <f>SUBSTITUTE('PASTE RAW DATA HERE'!B59, "*", "@")</f>
        <v>@A39/D</v>
      </c>
    </row>
    <row r="76" spans="1:1" x14ac:dyDescent="0.25">
      <c r="A76" s="8" t="str">
        <f>SUBSTITUTE('PASTE RAW DATA HERE'!B60, "*", "@")</f>
        <v>@A39/E</v>
      </c>
    </row>
    <row r="77" spans="1:1" x14ac:dyDescent="0.25">
      <c r="A77" s="8" t="str">
        <f>SUBSTITUTE('PASTE RAW DATA HERE'!B61, "*", "@")</f>
        <v/>
      </c>
    </row>
    <row r="78" spans="1:1" x14ac:dyDescent="0.25">
      <c r="A78" s="8" t="str">
        <f>SUBSTITUTE('PASTE RAW DATA HERE'!B62, "*", "@")</f>
        <v/>
      </c>
    </row>
    <row r="79" spans="1:1" x14ac:dyDescent="0.25">
      <c r="A79" s="8" t="str">
        <f>SUBSTITUTE('PASTE RAW DATA HERE'!B63, "*", "@")</f>
        <v/>
      </c>
    </row>
    <row r="80" spans="1:1" x14ac:dyDescent="0.25">
      <c r="A80" s="8" t="str">
        <f>SUBSTITUTE('PASTE RAW DATA HERE'!B64, "*", "@")</f>
        <v/>
      </c>
    </row>
    <row r="81" spans="1:1" x14ac:dyDescent="0.25">
      <c r="A81" s="8" t="str">
        <f>SUBSTITUTE('PASTE RAW DATA HERE'!B65, "*", "@")</f>
        <v/>
      </c>
    </row>
    <row r="82" spans="1:1" x14ac:dyDescent="0.25">
      <c r="A82" s="8" t="str">
        <f>SUBSTITUTE('PASTE RAW DATA HERE'!B66, "*", "@")</f>
        <v/>
      </c>
    </row>
    <row r="83" spans="1:1" x14ac:dyDescent="0.25">
      <c r="A83" s="8" t="str">
        <f>SUBSTITUTE('PASTE RAW DATA HERE'!B67, "*", "@")</f>
        <v/>
      </c>
    </row>
    <row r="84" spans="1:1" x14ac:dyDescent="0.25">
      <c r="A84" s="8" t="str">
        <f>SUBSTITUTE('PASTE RAW DATA HERE'!B68, "*", "@")</f>
        <v/>
      </c>
    </row>
    <row r="85" spans="1:1" x14ac:dyDescent="0.25">
      <c r="A85" s="8" t="str">
        <f>SUBSTITUTE('PASTE RAW DATA HERE'!B69, "*", "@")</f>
        <v/>
      </c>
    </row>
    <row r="86" spans="1:1" x14ac:dyDescent="0.25">
      <c r="A86" s="8" t="str">
        <f>SUBSTITUTE('PASTE RAW DATA HERE'!B70, "*", "@")</f>
        <v/>
      </c>
    </row>
    <row r="87" spans="1:1" x14ac:dyDescent="0.25">
      <c r="A87" s="8" t="str">
        <f>SUBSTITUTE('PASTE RAW DATA HERE'!B71, "*", "@")</f>
        <v/>
      </c>
    </row>
    <row r="88" spans="1:1" x14ac:dyDescent="0.25">
      <c r="A88" s="8" t="str">
        <f>SUBSTITUTE('PASTE RAW DATA HERE'!B72, "*", "@")</f>
        <v/>
      </c>
    </row>
    <row r="89" spans="1:1" x14ac:dyDescent="0.25">
      <c r="A89" s="8" t="str">
        <f>SUBSTITUTE('PASTE RAW DATA HERE'!B73, "*", "@")</f>
        <v/>
      </c>
    </row>
    <row r="90" spans="1:1" x14ac:dyDescent="0.25">
      <c r="A90" s="8" t="str">
        <f>SUBSTITUTE('PASTE RAW DATA HERE'!B74, "*", "@")</f>
        <v/>
      </c>
    </row>
    <row r="91" spans="1:1" x14ac:dyDescent="0.25">
      <c r="A91" s="8" t="str">
        <f>SUBSTITUTE('PASTE RAW DATA HERE'!B75, "*", "@")</f>
        <v/>
      </c>
    </row>
    <row r="92" spans="1:1" x14ac:dyDescent="0.25">
      <c r="A92" s="8" t="str">
        <f>SUBSTITUTE('PASTE RAW DATA HERE'!B76, "*", "@")</f>
        <v/>
      </c>
    </row>
    <row r="93" spans="1:1" x14ac:dyDescent="0.25">
      <c r="A93" s="8" t="str">
        <f>SUBSTITUTE('PASTE RAW DATA HERE'!B77, "*", "@")</f>
        <v/>
      </c>
    </row>
    <row r="94" spans="1:1" x14ac:dyDescent="0.25">
      <c r="A94" s="8" t="str">
        <f>SUBSTITUTE('PASTE RAW DATA HERE'!B78, "*", "@")</f>
        <v/>
      </c>
    </row>
    <row r="95" spans="1:1" x14ac:dyDescent="0.25">
      <c r="A95" s="8" t="str">
        <f>SUBSTITUTE('PASTE RAW DATA HERE'!B79, "*", "@")</f>
        <v/>
      </c>
    </row>
    <row r="96" spans="1:1" x14ac:dyDescent="0.25">
      <c r="A96" s="8" t="str">
        <f>SUBSTITUTE('PASTE RAW DATA HERE'!B80, "*", "@")</f>
        <v/>
      </c>
    </row>
    <row r="97" spans="1:1" x14ac:dyDescent="0.25">
      <c r="A97" s="8" t="str">
        <f>SUBSTITUTE('PASTE RAW DATA HERE'!B81, "*", "@")</f>
        <v/>
      </c>
    </row>
    <row r="98" spans="1:1" x14ac:dyDescent="0.25">
      <c r="A98" s="8" t="str">
        <f>SUBSTITUTE('PASTE RAW DATA HERE'!B82, "*", "@")</f>
        <v/>
      </c>
    </row>
    <row r="99" spans="1:1" x14ac:dyDescent="0.25">
      <c r="A99" s="8" t="str">
        <f>SUBSTITUTE('PASTE RAW DATA HERE'!B83, "*", "@")</f>
        <v/>
      </c>
    </row>
    <row r="100" spans="1:1" x14ac:dyDescent="0.25">
      <c r="A100" s="8" t="str">
        <f>SUBSTITUTE('PASTE RAW DATA HERE'!B84, "*", "@")</f>
        <v/>
      </c>
    </row>
    <row r="101" spans="1:1" x14ac:dyDescent="0.25">
      <c r="A101" s="8" t="str">
        <f>SUBSTITUTE('PASTE RAW DATA HERE'!B85, "*", "@")</f>
        <v/>
      </c>
    </row>
    <row r="102" spans="1:1" x14ac:dyDescent="0.25">
      <c r="A102" s="8" t="str">
        <f>SUBSTITUTE('PASTE RAW DATA HERE'!B86, "*", "@")</f>
        <v/>
      </c>
    </row>
    <row r="103" spans="1:1" x14ac:dyDescent="0.25">
      <c r="A103" s="8" t="str">
        <f>SUBSTITUTE('PASTE RAW DATA HERE'!B87, "*", "@")</f>
        <v/>
      </c>
    </row>
    <row r="104" spans="1:1" x14ac:dyDescent="0.25">
      <c r="A104" s="8" t="str">
        <f>SUBSTITUTE('PASTE RAW DATA HERE'!B88, "*", "@")</f>
        <v/>
      </c>
    </row>
    <row r="105" spans="1:1" x14ac:dyDescent="0.25">
      <c r="A105" s="8" t="str">
        <f>SUBSTITUTE('PASTE RAW DATA HERE'!B89, "*", "@")</f>
        <v/>
      </c>
    </row>
    <row r="106" spans="1:1" x14ac:dyDescent="0.25">
      <c r="A106" s="8" t="str">
        <f>SUBSTITUTE('PASTE RAW DATA HERE'!B90, "*", "@")</f>
        <v/>
      </c>
    </row>
    <row r="107" spans="1:1" x14ac:dyDescent="0.25">
      <c r="A107" s="8" t="str">
        <f>SUBSTITUTE('PASTE RAW DATA HERE'!B91, "*", "@")</f>
        <v/>
      </c>
    </row>
    <row r="108" spans="1:1" x14ac:dyDescent="0.25">
      <c r="A108" s="8" t="str">
        <f>SUBSTITUTE('PASTE RAW DATA HERE'!B92, "*", "@")</f>
        <v/>
      </c>
    </row>
    <row r="109" spans="1:1" x14ac:dyDescent="0.25">
      <c r="A109" s="8" t="str">
        <f>SUBSTITUTE('PASTE RAW DATA HERE'!B93, "*", "@")</f>
        <v/>
      </c>
    </row>
    <row r="110" spans="1:1" x14ac:dyDescent="0.25">
      <c r="A110" s="8" t="str">
        <f>SUBSTITUTE('PASTE RAW DATA HERE'!B94, "*", "@")</f>
        <v/>
      </c>
    </row>
    <row r="111" spans="1:1" x14ac:dyDescent="0.25">
      <c r="A111" s="8" t="str">
        <f>SUBSTITUTE('PASTE RAW DATA HERE'!B95, "*", "@")</f>
        <v/>
      </c>
    </row>
    <row r="112" spans="1:1" x14ac:dyDescent="0.25">
      <c r="A112" s="8" t="str">
        <f>SUBSTITUTE('PASTE RAW DATA HERE'!B96, "*", "@")</f>
        <v/>
      </c>
    </row>
    <row r="113" spans="1:1" x14ac:dyDescent="0.25">
      <c r="A113" s="8" t="str">
        <f>SUBSTITUTE('PASTE RAW DATA HERE'!B97, "*", "@")</f>
        <v/>
      </c>
    </row>
    <row r="114" spans="1:1" x14ac:dyDescent="0.25">
      <c r="A114" s="8" t="str">
        <f>SUBSTITUTE('PASTE RAW DATA HERE'!B98, "*", "@")</f>
        <v/>
      </c>
    </row>
    <row r="115" spans="1:1" x14ac:dyDescent="0.25">
      <c r="A115" s="8" t="str">
        <f>SUBSTITUTE('PASTE RAW DATA HERE'!B99, "*", "@")</f>
        <v/>
      </c>
    </row>
    <row r="116" spans="1:1" x14ac:dyDescent="0.25">
      <c r="A116" s="8" t="str">
        <f>SUBSTITUTE('PASTE RAW DATA HERE'!B100, "*", "@")</f>
        <v/>
      </c>
    </row>
    <row r="117" spans="1:1" x14ac:dyDescent="0.25">
      <c r="A117" s="8" t="str">
        <f>SUBSTITUTE('PASTE RAW DATA HERE'!B101, "*", "@")</f>
        <v/>
      </c>
    </row>
    <row r="118" spans="1:1" x14ac:dyDescent="0.25">
      <c r="A118" s="8" t="str">
        <f>SUBSTITUTE('PASTE RAW DATA HERE'!B102, "*", "@")</f>
        <v/>
      </c>
    </row>
    <row r="119" spans="1:1" x14ac:dyDescent="0.25">
      <c r="A119" s="8" t="str">
        <f>SUBSTITUTE('PASTE RAW DATA HERE'!B103, "*", "@")</f>
        <v/>
      </c>
    </row>
    <row r="120" spans="1:1" x14ac:dyDescent="0.25">
      <c r="A120" s="8" t="str">
        <f>SUBSTITUTE('PASTE RAW DATA HERE'!B104, "*", "@")</f>
        <v/>
      </c>
    </row>
    <row r="121" spans="1:1" x14ac:dyDescent="0.25">
      <c r="A121" s="8" t="str">
        <f>SUBSTITUTE('PASTE RAW DATA HERE'!B105, "*", "@")</f>
        <v/>
      </c>
    </row>
    <row r="122" spans="1:1" x14ac:dyDescent="0.25">
      <c r="A122" s="8" t="str">
        <f>SUBSTITUTE('PASTE RAW DATA HERE'!B106, "*", "@")</f>
        <v/>
      </c>
    </row>
    <row r="123" spans="1:1" x14ac:dyDescent="0.25">
      <c r="A123" s="8" t="str">
        <f>SUBSTITUTE('PASTE RAW DATA HERE'!B107, "*", "@")</f>
        <v/>
      </c>
    </row>
    <row r="124" spans="1:1" x14ac:dyDescent="0.25">
      <c r="A124" s="8" t="str">
        <f>SUBSTITUTE('PASTE RAW DATA HERE'!B108, "*", "@")</f>
        <v/>
      </c>
    </row>
    <row r="125" spans="1:1" x14ac:dyDescent="0.25">
      <c r="A125" s="8" t="str">
        <f>SUBSTITUTE('PASTE RAW DATA HERE'!B109, "*", "@")</f>
        <v/>
      </c>
    </row>
    <row r="126" spans="1:1" x14ac:dyDescent="0.25">
      <c r="A126" s="8" t="str">
        <f>SUBSTITUTE('PASTE RAW DATA HERE'!B110, "*", "@")</f>
        <v/>
      </c>
    </row>
    <row r="127" spans="1:1" x14ac:dyDescent="0.25">
      <c r="A127" s="8" t="str">
        <f>SUBSTITUTE('PASTE RAW DATA HERE'!B111, "*", "@")</f>
        <v/>
      </c>
    </row>
    <row r="128" spans="1:1" x14ac:dyDescent="0.25">
      <c r="A128" s="8" t="str">
        <f>SUBSTITUTE('PASTE RAW DATA HERE'!B112, "*", "@")</f>
        <v/>
      </c>
    </row>
    <row r="129" spans="1:1" x14ac:dyDescent="0.25">
      <c r="A129" s="8" t="str">
        <f>SUBSTITUTE('PASTE RAW DATA HERE'!B113, "*", "@")</f>
        <v/>
      </c>
    </row>
    <row r="130" spans="1:1" x14ac:dyDescent="0.25">
      <c r="A130" s="8" t="str">
        <f>SUBSTITUTE('PASTE RAW DATA HERE'!B114, "*", "@")</f>
        <v/>
      </c>
    </row>
    <row r="131" spans="1:1" x14ac:dyDescent="0.25">
      <c r="A131" s="8" t="str">
        <f>SUBSTITUTE('PASTE RAW DATA HERE'!B115, "*", "@")</f>
        <v/>
      </c>
    </row>
    <row r="132" spans="1:1" x14ac:dyDescent="0.25">
      <c r="A132" s="8" t="str">
        <f>SUBSTITUTE('PASTE RAW DATA HERE'!B116, "*", "@")</f>
        <v/>
      </c>
    </row>
    <row r="133" spans="1:1" x14ac:dyDescent="0.25">
      <c r="A133" s="8" t="str">
        <f>SUBSTITUTE('PASTE RAW DATA HERE'!B117, "*", "@")</f>
        <v/>
      </c>
    </row>
    <row r="134" spans="1:1" x14ac:dyDescent="0.25">
      <c r="A134" s="8" t="str">
        <f>SUBSTITUTE('PASTE RAW DATA HERE'!B118, "*", "@")</f>
        <v/>
      </c>
    </row>
    <row r="135" spans="1:1" x14ac:dyDescent="0.25">
      <c r="A135" s="8" t="str">
        <f>SUBSTITUTE('PASTE RAW DATA HERE'!B119, "*", "@")</f>
        <v/>
      </c>
    </row>
    <row r="136" spans="1:1" x14ac:dyDescent="0.25">
      <c r="A136" s="8" t="str">
        <f>SUBSTITUTE('PASTE RAW DATA HERE'!B120, "*", "@")</f>
        <v/>
      </c>
    </row>
    <row r="137" spans="1:1" x14ac:dyDescent="0.25">
      <c r="A137" s="8" t="str">
        <f>SUBSTITUTE('PASTE RAW DATA HERE'!B121, "*", "@")</f>
        <v/>
      </c>
    </row>
    <row r="138" spans="1:1" x14ac:dyDescent="0.25">
      <c r="A138" s="8" t="str">
        <f>SUBSTITUTE('PASTE RAW DATA HERE'!B122, "*", "@")</f>
        <v/>
      </c>
    </row>
    <row r="139" spans="1:1" x14ac:dyDescent="0.25">
      <c r="A139" s="8" t="str">
        <f>SUBSTITUTE('PASTE RAW DATA HERE'!B123, "*", "@")</f>
        <v/>
      </c>
    </row>
    <row r="140" spans="1:1" x14ac:dyDescent="0.25">
      <c r="A140" s="8" t="str">
        <f>SUBSTITUTE('PASTE RAW DATA HERE'!B124, "*", "@")</f>
        <v/>
      </c>
    </row>
    <row r="141" spans="1:1" x14ac:dyDescent="0.25">
      <c r="A141" s="8" t="str">
        <f>SUBSTITUTE('PASTE RAW DATA HERE'!B125, "*", "@")</f>
        <v/>
      </c>
    </row>
    <row r="142" spans="1:1" x14ac:dyDescent="0.25">
      <c r="A142" s="8" t="str">
        <f>SUBSTITUTE('PASTE RAW DATA HERE'!B126, "*", "@")</f>
        <v/>
      </c>
    </row>
    <row r="143" spans="1:1" x14ac:dyDescent="0.25">
      <c r="A143" s="8" t="str">
        <f>SUBSTITUTE('PASTE RAW DATA HERE'!B127, "*", "@")</f>
        <v/>
      </c>
    </row>
    <row r="144" spans="1:1" x14ac:dyDescent="0.25">
      <c r="A144" s="8" t="str">
        <f>SUBSTITUTE('PASTE RAW DATA HERE'!B128, "*", "@")</f>
        <v/>
      </c>
    </row>
    <row r="145" spans="1:1" x14ac:dyDescent="0.25">
      <c r="A145" s="8" t="str">
        <f>SUBSTITUTE('PASTE RAW DATA HERE'!B129, "*", "@")</f>
        <v/>
      </c>
    </row>
    <row r="146" spans="1:1" x14ac:dyDescent="0.25">
      <c r="A146" s="8" t="str">
        <f>SUBSTITUTE('PASTE RAW DATA HERE'!B130, "*", "@")</f>
        <v/>
      </c>
    </row>
    <row r="147" spans="1:1" x14ac:dyDescent="0.25">
      <c r="A147" s="8" t="str">
        <f>SUBSTITUTE('PASTE RAW DATA HERE'!B131, "*", "@")</f>
        <v/>
      </c>
    </row>
    <row r="148" spans="1:1" x14ac:dyDescent="0.25">
      <c r="A148" s="8" t="str">
        <f>SUBSTITUTE('PASTE RAW DATA HERE'!B132, "*", "@")</f>
        <v/>
      </c>
    </row>
    <row r="149" spans="1:1" x14ac:dyDescent="0.25">
      <c r="A149" s="8" t="str">
        <f>SUBSTITUTE('PASTE RAW DATA HERE'!B133, "*", "@")</f>
        <v/>
      </c>
    </row>
    <row r="150" spans="1:1" x14ac:dyDescent="0.25">
      <c r="A150" s="8" t="str">
        <f>SUBSTITUTE('PASTE RAW DATA HERE'!B134, "*", "@")</f>
        <v/>
      </c>
    </row>
    <row r="151" spans="1:1" x14ac:dyDescent="0.25">
      <c r="A151" s="8" t="str">
        <f>SUBSTITUTE('PASTE RAW DATA HERE'!B135, "*", "@")</f>
        <v/>
      </c>
    </row>
    <row r="152" spans="1:1" x14ac:dyDescent="0.25">
      <c r="A152" s="8" t="str">
        <f>SUBSTITUTE('PASTE RAW DATA HERE'!B136, "*", "@")</f>
        <v/>
      </c>
    </row>
    <row r="153" spans="1:1" x14ac:dyDescent="0.25">
      <c r="A153" s="8" t="str">
        <f>SUBSTITUTE('PASTE RAW DATA HERE'!B137, "*", "@")</f>
        <v/>
      </c>
    </row>
    <row r="154" spans="1:1" x14ac:dyDescent="0.25">
      <c r="A154" s="8" t="str">
        <f>SUBSTITUTE('PASTE RAW DATA HERE'!B138, "*", "@")</f>
        <v/>
      </c>
    </row>
    <row r="155" spans="1:1" x14ac:dyDescent="0.25">
      <c r="A155" s="8" t="str">
        <f>SUBSTITUTE('PASTE RAW DATA HERE'!B139, "*", "@")</f>
        <v/>
      </c>
    </row>
    <row r="156" spans="1:1" x14ac:dyDescent="0.25">
      <c r="A156" s="8" t="str">
        <f>SUBSTITUTE('PASTE RAW DATA HERE'!B140, "*", "@")</f>
        <v/>
      </c>
    </row>
    <row r="157" spans="1:1" x14ac:dyDescent="0.25">
      <c r="A157" s="8" t="str">
        <f>SUBSTITUTE('PASTE RAW DATA HERE'!B141, "*", "@")</f>
        <v/>
      </c>
    </row>
    <row r="158" spans="1:1" x14ac:dyDescent="0.25">
      <c r="A158" s="8" t="str">
        <f>SUBSTITUTE('PASTE RAW DATA HERE'!B142, "*", "@")</f>
        <v/>
      </c>
    </row>
    <row r="159" spans="1:1" x14ac:dyDescent="0.25">
      <c r="A159" s="8" t="str">
        <f>SUBSTITUTE('PASTE RAW DATA HERE'!B143, "*", "@")</f>
        <v/>
      </c>
    </row>
    <row r="160" spans="1:1" x14ac:dyDescent="0.25">
      <c r="A160" s="8" t="str">
        <f>SUBSTITUTE('PASTE RAW DATA HERE'!B144, "*", "@")</f>
        <v/>
      </c>
    </row>
    <row r="161" spans="1:1" x14ac:dyDescent="0.25">
      <c r="A161" s="8" t="str">
        <f>SUBSTITUTE('PASTE RAW DATA HERE'!B145, "*", "@")</f>
        <v/>
      </c>
    </row>
    <row r="162" spans="1:1" x14ac:dyDescent="0.25">
      <c r="A162" s="8" t="str">
        <f>SUBSTITUTE('PASTE RAW DATA HERE'!B146, "*", "@")</f>
        <v/>
      </c>
    </row>
    <row r="163" spans="1:1" x14ac:dyDescent="0.25">
      <c r="A163" s="8" t="str">
        <f>SUBSTITUTE('PASTE RAW DATA HERE'!B147, "*", "@")</f>
        <v/>
      </c>
    </row>
    <row r="164" spans="1:1" x14ac:dyDescent="0.25">
      <c r="A164" s="8" t="str">
        <f>SUBSTITUTE('PASTE RAW DATA HERE'!B148, "*", "@")</f>
        <v/>
      </c>
    </row>
    <row r="165" spans="1:1" x14ac:dyDescent="0.25">
      <c r="A165" s="8" t="str">
        <f>SUBSTITUTE('PASTE RAW DATA HERE'!B149, "*", "@")</f>
        <v/>
      </c>
    </row>
    <row r="166" spans="1:1" x14ac:dyDescent="0.25">
      <c r="A166" s="8" t="str">
        <f>SUBSTITUTE('PASTE RAW DATA HERE'!B150, "*", "@")</f>
        <v/>
      </c>
    </row>
    <row r="167" spans="1:1" x14ac:dyDescent="0.25">
      <c r="A167" s="8" t="str">
        <f>SUBSTITUTE('PASTE RAW DATA HERE'!B151, "*", "@")</f>
        <v/>
      </c>
    </row>
    <row r="168" spans="1:1" x14ac:dyDescent="0.25">
      <c r="A168" s="8" t="str">
        <f>SUBSTITUTE('PASTE RAW DATA HERE'!B152, "*", "@")</f>
        <v/>
      </c>
    </row>
    <row r="169" spans="1:1" x14ac:dyDescent="0.25">
      <c r="A169" s="8" t="str">
        <f>SUBSTITUTE('PASTE RAW DATA HERE'!B153, "*", "@")</f>
        <v/>
      </c>
    </row>
    <row r="170" spans="1:1" x14ac:dyDescent="0.25">
      <c r="A170" s="8" t="str">
        <f>SUBSTITUTE('PASTE RAW DATA HERE'!B154, "*", "@")</f>
        <v/>
      </c>
    </row>
    <row r="171" spans="1:1" x14ac:dyDescent="0.25">
      <c r="A171" s="8" t="str">
        <f>SUBSTITUTE('PASTE RAW DATA HERE'!B155, "*", "@")</f>
        <v/>
      </c>
    </row>
    <row r="172" spans="1:1" x14ac:dyDescent="0.25">
      <c r="A172" s="8" t="str">
        <f>SUBSTITUTE('PASTE RAW DATA HERE'!B156, "*", "@")</f>
        <v/>
      </c>
    </row>
    <row r="173" spans="1:1" x14ac:dyDescent="0.25">
      <c r="A173" s="8" t="str">
        <f>SUBSTITUTE('PASTE RAW DATA HERE'!B157, "*", "@")</f>
        <v/>
      </c>
    </row>
    <row r="174" spans="1:1" x14ac:dyDescent="0.25">
      <c r="A174" s="8" t="str">
        <f>SUBSTITUTE('PASTE RAW DATA HERE'!B158, "*", "@")</f>
        <v/>
      </c>
    </row>
    <row r="175" spans="1:1" x14ac:dyDescent="0.25">
      <c r="A175" s="8" t="str">
        <f>SUBSTITUTE('PASTE RAW DATA HERE'!B159, "*", "@")</f>
        <v/>
      </c>
    </row>
    <row r="176" spans="1:1" x14ac:dyDescent="0.25">
      <c r="A176" s="8" t="str">
        <f>SUBSTITUTE('PASTE RAW DATA HERE'!B160, "*", "@")</f>
        <v/>
      </c>
    </row>
    <row r="177" spans="1:1" x14ac:dyDescent="0.25">
      <c r="A177" s="8" t="str">
        <f>SUBSTITUTE('PASTE RAW DATA HERE'!B161, "*", "@")</f>
        <v/>
      </c>
    </row>
    <row r="178" spans="1:1" x14ac:dyDescent="0.25">
      <c r="A178" s="8" t="str">
        <f>SUBSTITUTE('PASTE RAW DATA HERE'!B162, "*", "@")</f>
        <v/>
      </c>
    </row>
    <row r="179" spans="1:1" x14ac:dyDescent="0.25">
      <c r="A179" s="8" t="str">
        <f>SUBSTITUTE('PASTE RAW DATA HERE'!B163, "*", "@")</f>
        <v/>
      </c>
    </row>
    <row r="180" spans="1:1" x14ac:dyDescent="0.25">
      <c r="A180" s="8" t="str">
        <f>SUBSTITUTE('PASTE RAW DATA HERE'!B164, "*", "@")</f>
        <v/>
      </c>
    </row>
    <row r="181" spans="1:1" x14ac:dyDescent="0.25">
      <c r="A181" s="8" t="str">
        <f>SUBSTITUTE('PASTE RAW DATA HERE'!B165, "*", "@")</f>
        <v/>
      </c>
    </row>
    <row r="182" spans="1:1" x14ac:dyDescent="0.25">
      <c r="A182" s="8" t="str">
        <f>SUBSTITUTE('PASTE RAW DATA HERE'!B166, "*", "@")</f>
        <v/>
      </c>
    </row>
    <row r="183" spans="1:1" x14ac:dyDescent="0.25">
      <c r="A183" s="8" t="str">
        <f>SUBSTITUTE('PASTE RAW DATA HERE'!B167, "*", "@")</f>
        <v/>
      </c>
    </row>
    <row r="184" spans="1:1" x14ac:dyDescent="0.25">
      <c r="A184" s="8" t="str">
        <f>SUBSTITUTE('PASTE RAW DATA HERE'!B168, "*", "@")</f>
        <v/>
      </c>
    </row>
    <row r="185" spans="1:1" x14ac:dyDescent="0.25">
      <c r="A185" s="8" t="str">
        <f>SUBSTITUTE('PASTE RAW DATA HERE'!B169, "*", "@")</f>
        <v/>
      </c>
    </row>
    <row r="186" spans="1:1" x14ac:dyDescent="0.25">
      <c r="A186" s="8" t="str">
        <f>SUBSTITUTE('PASTE RAW DATA HERE'!B170, "*", "@")</f>
        <v/>
      </c>
    </row>
    <row r="187" spans="1:1" x14ac:dyDescent="0.25">
      <c r="A187" s="8" t="str">
        <f>SUBSTITUTE('PASTE RAW DATA HERE'!B171, "*", "@")</f>
        <v/>
      </c>
    </row>
    <row r="188" spans="1:1" x14ac:dyDescent="0.25">
      <c r="A188" s="8" t="str">
        <f>SUBSTITUTE('PASTE RAW DATA HERE'!B172, "*", "@")</f>
        <v/>
      </c>
    </row>
    <row r="189" spans="1:1" x14ac:dyDescent="0.25">
      <c r="A189" s="8" t="str">
        <f>SUBSTITUTE('PASTE RAW DATA HERE'!B173, "*", "@")</f>
        <v/>
      </c>
    </row>
    <row r="190" spans="1:1" x14ac:dyDescent="0.25">
      <c r="A190" s="8" t="str">
        <f>SUBSTITUTE('PASTE RAW DATA HERE'!B174, "*", "@")</f>
        <v/>
      </c>
    </row>
    <row r="191" spans="1:1" x14ac:dyDescent="0.25">
      <c r="A191" s="8" t="str">
        <f>SUBSTITUTE('PASTE RAW DATA HERE'!B175, "*", "@")</f>
        <v/>
      </c>
    </row>
    <row r="192" spans="1:1" x14ac:dyDescent="0.25">
      <c r="A192" s="8" t="str">
        <f>SUBSTITUTE('PASTE RAW DATA HERE'!B176, "*", "@")</f>
        <v/>
      </c>
    </row>
    <row r="193" spans="1:1" x14ac:dyDescent="0.25">
      <c r="A193" s="8" t="str">
        <f>SUBSTITUTE('PASTE RAW DATA HERE'!B177, "*", "@")</f>
        <v/>
      </c>
    </row>
    <row r="194" spans="1:1" x14ac:dyDescent="0.25">
      <c r="A194" s="8" t="str">
        <f>SUBSTITUTE('PASTE RAW DATA HERE'!B178, "*", "@")</f>
        <v/>
      </c>
    </row>
    <row r="195" spans="1:1" x14ac:dyDescent="0.25">
      <c r="A195" s="8" t="str">
        <f>SUBSTITUTE('PASTE RAW DATA HERE'!B179, "*", "@")</f>
        <v/>
      </c>
    </row>
    <row r="196" spans="1:1" x14ac:dyDescent="0.25">
      <c r="A196" s="8" t="str">
        <f>SUBSTITUTE('PASTE RAW DATA HERE'!B180, "*", "@")</f>
        <v/>
      </c>
    </row>
    <row r="197" spans="1:1" x14ac:dyDescent="0.25">
      <c r="A197" s="8" t="str">
        <f>SUBSTITUTE('PASTE RAW DATA HERE'!B181, "*", "@")</f>
        <v/>
      </c>
    </row>
    <row r="198" spans="1:1" x14ac:dyDescent="0.25">
      <c r="A198" s="8" t="str">
        <f>SUBSTITUTE('PASTE RAW DATA HERE'!B182, "*", "@")</f>
        <v/>
      </c>
    </row>
    <row r="199" spans="1:1" x14ac:dyDescent="0.25">
      <c r="A199" s="8" t="str">
        <f>SUBSTITUTE('PASTE RAW DATA HERE'!B183, "*", "@")</f>
        <v/>
      </c>
    </row>
    <row r="200" spans="1:1" x14ac:dyDescent="0.25">
      <c r="A200" s="8" t="str">
        <f>SUBSTITUTE('PASTE RAW DATA HERE'!B184, "*", "@")</f>
        <v/>
      </c>
    </row>
    <row r="201" spans="1:1" x14ac:dyDescent="0.25">
      <c r="A201" s="8" t="str">
        <f>SUBSTITUTE('PASTE RAW DATA HERE'!B185, "*", "@")</f>
        <v/>
      </c>
    </row>
    <row r="202" spans="1:1" x14ac:dyDescent="0.25">
      <c r="A202" s="8" t="str">
        <f>SUBSTITUTE('PASTE RAW DATA HERE'!B186, "*", "@")</f>
        <v/>
      </c>
    </row>
    <row r="203" spans="1:1" x14ac:dyDescent="0.25">
      <c r="A203" s="8" t="str">
        <f>SUBSTITUTE('PASTE RAW DATA HERE'!B187, "*", "@")</f>
        <v/>
      </c>
    </row>
    <row r="204" spans="1:1" x14ac:dyDescent="0.25">
      <c r="A204" s="8" t="str">
        <f>SUBSTITUTE('PASTE RAW DATA HERE'!B188, "*", "@")</f>
        <v/>
      </c>
    </row>
    <row r="205" spans="1:1" x14ac:dyDescent="0.25">
      <c r="A205" s="8" t="str">
        <f>SUBSTITUTE('PASTE RAW DATA HERE'!B189, "*", "@")</f>
        <v/>
      </c>
    </row>
    <row r="206" spans="1:1" x14ac:dyDescent="0.25">
      <c r="A206" s="8" t="str">
        <f>SUBSTITUTE('PASTE RAW DATA HERE'!B190, "*", "@")</f>
        <v/>
      </c>
    </row>
    <row r="207" spans="1:1" x14ac:dyDescent="0.25">
      <c r="A207" s="8" t="str">
        <f>SUBSTITUTE('PASTE RAW DATA HERE'!B191, "*", "@")</f>
        <v/>
      </c>
    </row>
    <row r="208" spans="1:1" x14ac:dyDescent="0.25">
      <c r="A208" s="8" t="str">
        <f>SUBSTITUTE('PASTE RAW DATA HERE'!B192, "*", "@")</f>
        <v/>
      </c>
    </row>
    <row r="209" spans="1:1" x14ac:dyDescent="0.25">
      <c r="A209" s="8" t="str">
        <f>SUBSTITUTE('PASTE RAW DATA HERE'!B193, "*", "@")</f>
        <v/>
      </c>
    </row>
    <row r="210" spans="1:1" x14ac:dyDescent="0.25">
      <c r="A210" s="8" t="str">
        <f>SUBSTITUTE('PASTE RAW DATA HERE'!B194, "*", "@")</f>
        <v/>
      </c>
    </row>
    <row r="211" spans="1:1" x14ac:dyDescent="0.25">
      <c r="A211" s="8" t="str">
        <f>SUBSTITUTE('PASTE RAW DATA HERE'!B195, "*", "@")</f>
        <v/>
      </c>
    </row>
    <row r="212" spans="1:1" x14ac:dyDescent="0.25">
      <c r="A212" s="8" t="str">
        <f>SUBSTITUTE('PASTE RAW DATA HERE'!B196, "*", "@")</f>
        <v/>
      </c>
    </row>
    <row r="213" spans="1:1" x14ac:dyDescent="0.25">
      <c r="A213" s="8" t="str">
        <f>SUBSTITUTE('PASTE RAW DATA HERE'!B197, "*", "@")</f>
        <v/>
      </c>
    </row>
    <row r="214" spans="1:1" x14ac:dyDescent="0.25">
      <c r="A214" s="8" t="str">
        <f>SUBSTITUTE('PASTE RAW DATA HERE'!B198, "*", "@")</f>
        <v/>
      </c>
    </row>
    <row r="215" spans="1:1" x14ac:dyDescent="0.25">
      <c r="A215" s="8" t="str">
        <f>SUBSTITUTE('PASTE RAW DATA HERE'!B199, "*", "@")</f>
        <v/>
      </c>
    </row>
    <row r="216" spans="1:1" x14ac:dyDescent="0.25">
      <c r="A216" s="8" t="str">
        <f>SUBSTITUTE('PASTE RAW DATA HERE'!B200, "*", "@")</f>
        <v/>
      </c>
    </row>
    <row r="217" spans="1:1" x14ac:dyDescent="0.25">
      <c r="A217" s="8" t="str">
        <f>SUBSTITUTE('PASTE RAW DATA HERE'!B201, "*", "@")</f>
        <v/>
      </c>
    </row>
    <row r="218" spans="1:1" x14ac:dyDescent="0.25">
      <c r="A218" s="8" t="str">
        <f>SUBSTITUTE('PASTE RAW DATA HERE'!B202, "*", "@")</f>
        <v/>
      </c>
    </row>
    <row r="219" spans="1:1" x14ac:dyDescent="0.25">
      <c r="A219" s="8" t="str">
        <f>SUBSTITUTE('PASTE RAW DATA HERE'!B203, "*", "@")</f>
        <v/>
      </c>
    </row>
    <row r="220" spans="1:1" x14ac:dyDescent="0.25">
      <c r="A220" s="8" t="str">
        <f>SUBSTITUTE('PASTE RAW DATA HERE'!B204, "*", "@")</f>
        <v/>
      </c>
    </row>
    <row r="221" spans="1:1" x14ac:dyDescent="0.25">
      <c r="A221" s="8" t="str">
        <f>SUBSTITUTE('PASTE RAW DATA HERE'!B205, "*", "@")</f>
        <v/>
      </c>
    </row>
    <row r="222" spans="1:1" x14ac:dyDescent="0.25">
      <c r="A222" s="8" t="str">
        <f>SUBSTITUTE('PASTE RAW DATA HERE'!B206, "*", "@")</f>
        <v/>
      </c>
    </row>
    <row r="223" spans="1:1" x14ac:dyDescent="0.25">
      <c r="A223" s="8" t="str">
        <f>SUBSTITUTE('PASTE RAW DATA HERE'!B207, "*", "@")</f>
        <v/>
      </c>
    </row>
    <row r="224" spans="1:1" x14ac:dyDescent="0.25">
      <c r="A224" s="8" t="str">
        <f>SUBSTITUTE('PASTE RAW DATA HERE'!B208, "*", "@")</f>
        <v/>
      </c>
    </row>
    <row r="225" spans="1:1" x14ac:dyDescent="0.25">
      <c r="A225" s="8" t="str">
        <f>SUBSTITUTE('PASTE RAW DATA HERE'!B209, "*", "@")</f>
        <v/>
      </c>
    </row>
    <row r="226" spans="1:1" x14ac:dyDescent="0.25">
      <c r="A226" s="8" t="str">
        <f>SUBSTITUTE('PASTE RAW DATA HERE'!B210, "*", "@")</f>
        <v/>
      </c>
    </row>
    <row r="227" spans="1:1" x14ac:dyDescent="0.25">
      <c r="A227" s="8" t="str">
        <f>SUBSTITUTE('PASTE RAW DATA HERE'!B211, "*", "@")</f>
        <v/>
      </c>
    </row>
    <row r="228" spans="1:1" x14ac:dyDescent="0.25">
      <c r="A228" s="8" t="str">
        <f>SUBSTITUTE('PASTE RAW DATA HERE'!B212, "*", "@")</f>
        <v/>
      </c>
    </row>
    <row r="229" spans="1:1" x14ac:dyDescent="0.25">
      <c r="A229" s="8" t="str">
        <f>SUBSTITUTE('PASTE RAW DATA HERE'!B213, "*", "@")</f>
        <v/>
      </c>
    </row>
    <row r="230" spans="1:1" x14ac:dyDescent="0.25">
      <c r="A230" s="8" t="str">
        <f>SUBSTITUTE('PASTE RAW DATA HERE'!B214, "*", "@")</f>
        <v/>
      </c>
    </row>
    <row r="231" spans="1:1" x14ac:dyDescent="0.25">
      <c r="A231" s="8" t="str">
        <f>SUBSTITUTE('PASTE RAW DATA HERE'!B215, "*", "@")</f>
        <v/>
      </c>
    </row>
    <row r="232" spans="1:1" x14ac:dyDescent="0.25">
      <c r="A232" s="8" t="str">
        <f>SUBSTITUTE('PASTE RAW DATA HERE'!B216, "*", "@")</f>
        <v/>
      </c>
    </row>
    <row r="233" spans="1:1" x14ac:dyDescent="0.25">
      <c r="A233" s="8" t="str">
        <f>SUBSTITUTE('PASTE RAW DATA HERE'!B217, "*", "@")</f>
        <v/>
      </c>
    </row>
    <row r="234" spans="1:1" x14ac:dyDescent="0.25">
      <c r="A234" s="8" t="str">
        <f>SUBSTITUTE('PASTE RAW DATA HERE'!B218, "*", "@")</f>
        <v/>
      </c>
    </row>
    <row r="235" spans="1:1" x14ac:dyDescent="0.25">
      <c r="A235" s="8" t="str">
        <f>SUBSTITUTE('PASTE RAW DATA HERE'!B219, "*", "@")</f>
        <v/>
      </c>
    </row>
    <row r="236" spans="1:1" x14ac:dyDescent="0.25">
      <c r="A236" s="8" t="str">
        <f>SUBSTITUTE('PASTE RAW DATA HERE'!B220, "*", "@")</f>
        <v/>
      </c>
    </row>
    <row r="237" spans="1:1" x14ac:dyDescent="0.25">
      <c r="A237" s="8" t="str">
        <f>SUBSTITUTE('PASTE RAW DATA HERE'!B221, "*", "@")</f>
        <v/>
      </c>
    </row>
    <row r="238" spans="1:1" x14ac:dyDescent="0.25">
      <c r="A238" s="8" t="str">
        <f>SUBSTITUTE('PASTE RAW DATA HERE'!B222, "*", "@")</f>
        <v/>
      </c>
    </row>
    <row r="239" spans="1:1" x14ac:dyDescent="0.25">
      <c r="A239" s="8" t="str">
        <f>SUBSTITUTE('PASTE RAW DATA HERE'!B223, "*", "@")</f>
        <v/>
      </c>
    </row>
    <row r="240" spans="1:1" x14ac:dyDescent="0.25">
      <c r="A240" s="8" t="str">
        <f>SUBSTITUTE('PASTE RAW DATA HERE'!B224, "*", "@")</f>
        <v/>
      </c>
    </row>
    <row r="241" spans="1:1" x14ac:dyDescent="0.25">
      <c r="A241" s="8" t="str">
        <f>SUBSTITUTE('PASTE RAW DATA HERE'!B225, "*", "@")</f>
        <v/>
      </c>
    </row>
    <row r="242" spans="1:1" x14ac:dyDescent="0.25">
      <c r="A242" s="8" t="str">
        <f>SUBSTITUTE('PASTE RAW DATA HERE'!B226, "*", "@")</f>
        <v/>
      </c>
    </row>
    <row r="243" spans="1:1" x14ac:dyDescent="0.25">
      <c r="A243" s="8" t="str">
        <f>SUBSTITUTE('PASTE RAW DATA HERE'!B227, "*", "@")</f>
        <v/>
      </c>
    </row>
    <row r="244" spans="1:1" x14ac:dyDescent="0.25">
      <c r="A244" s="8" t="str">
        <f>SUBSTITUTE('PASTE RAW DATA HERE'!B228, "*", "@")</f>
        <v/>
      </c>
    </row>
    <row r="245" spans="1:1" x14ac:dyDescent="0.25">
      <c r="A245" s="8" t="str">
        <f>SUBSTITUTE('PASTE RAW DATA HERE'!B229, "*", "@")</f>
        <v/>
      </c>
    </row>
    <row r="246" spans="1:1" x14ac:dyDescent="0.25">
      <c r="A246" s="8" t="str">
        <f>SUBSTITUTE('PASTE RAW DATA HERE'!B230, "*", "@")</f>
        <v/>
      </c>
    </row>
    <row r="247" spans="1:1" x14ac:dyDescent="0.25">
      <c r="A247" s="8" t="str">
        <f>SUBSTITUTE('PASTE RAW DATA HERE'!B231, "*", "@")</f>
        <v/>
      </c>
    </row>
    <row r="248" spans="1:1" x14ac:dyDescent="0.25">
      <c r="A248" s="8" t="str">
        <f>SUBSTITUTE('PASTE RAW DATA HERE'!B232, "*", "@")</f>
        <v/>
      </c>
    </row>
    <row r="249" spans="1:1" x14ac:dyDescent="0.25">
      <c r="A249" s="8" t="str">
        <f>SUBSTITUTE('PASTE RAW DATA HERE'!B233, "*", "@")</f>
        <v/>
      </c>
    </row>
    <row r="250" spans="1:1" x14ac:dyDescent="0.25">
      <c r="A250" s="8" t="str">
        <f>SUBSTITUTE('PASTE RAW DATA HERE'!B234, "*", "@")</f>
        <v/>
      </c>
    </row>
    <row r="251" spans="1:1" x14ac:dyDescent="0.25">
      <c r="A251" s="8" t="str">
        <f>SUBSTITUTE('PASTE RAW DATA HERE'!B235, "*", "@")</f>
        <v/>
      </c>
    </row>
    <row r="252" spans="1:1" x14ac:dyDescent="0.25">
      <c r="A252" s="8" t="str">
        <f>SUBSTITUTE('PASTE RAW DATA HERE'!B236, "*", "@")</f>
        <v/>
      </c>
    </row>
    <row r="253" spans="1:1" x14ac:dyDescent="0.25">
      <c r="A253" s="8" t="str">
        <f>SUBSTITUTE('PASTE RAW DATA HERE'!B237, "*", "@")</f>
        <v/>
      </c>
    </row>
    <row r="254" spans="1:1" x14ac:dyDescent="0.25">
      <c r="A254" s="8" t="str">
        <f>SUBSTITUTE('PASTE RAW DATA HERE'!B238, "*", "@")</f>
        <v/>
      </c>
    </row>
    <row r="255" spans="1:1" x14ac:dyDescent="0.25">
      <c r="A255" s="8" t="str">
        <f>SUBSTITUTE('PASTE RAW DATA HERE'!B239, "*", "@")</f>
        <v/>
      </c>
    </row>
    <row r="256" spans="1:1" x14ac:dyDescent="0.25">
      <c r="A256" s="8" t="str">
        <f>SUBSTITUTE('PASTE RAW DATA HERE'!B240, "*", "@")</f>
        <v/>
      </c>
    </row>
    <row r="257" spans="1:1" x14ac:dyDescent="0.25">
      <c r="A257" s="8" t="str">
        <f>SUBSTITUTE('PASTE RAW DATA HERE'!B241, "*", "@")</f>
        <v/>
      </c>
    </row>
    <row r="258" spans="1:1" x14ac:dyDescent="0.25">
      <c r="A258" s="8" t="str">
        <f>SUBSTITUTE('PASTE RAW DATA HERE'!B242, "*", "@")</f>
        <v/>
      </c>
    </row>
    <row r="259" spans="1:1" x14ac:dyDescent="0.25">
      <c r="A259" s="8" t="str">
        <f>SUBSTITUTE('PASTE RAW DATA HERE'!B243, "*", "@")</f>
        <v/>
      </c>
    </row>
    <row r="260" spans="1:1" x14ac:dyDescent="0.25">
      <c r="A260" s="8" t="str">
        <f>SUBSTITUTE('PASTE RAW DATA HERE'!B244, "*", "@")</f>
        <v/>
      </c>
    </row>
    <row r="261" spans="1:1" x14ac:dyDescent="0.25">
      <c r="A261" s="8" t="str">
        <f>SUBSTITUTE('PASTE RAW DATA HERE'!B245, "*", "@")</f>
        <v/>
      </c>
    </row>
    <row r="262" spans="1:1" x14ac:dyDescent="0.25">
      <c r="A262" s="8" t="str">
        <f>SUBSTITUTE('PASTE RAW DATA HERE'!B246, "*", "@")</f>
        <v/>
      </c>
    </row>
    <row r="263" spans="1:1" x14ac:dyDescent="0.25">
      <c r="A263" s="8" t="str">
        <f>SUBSTITUTE('PASTE RAW DATA HERE'!B247, "*", "@")</f>
        <v/>
      </c>
    </row>
    <row r="264" spans="1:1" x14ac:dyDescent="0.25">
      <c r="A264" s="8" t="str">
        <f>SUBSTITUTE('PASTE RAW DATA HERE'!B248, "*", "@")</f>
        <v/>
      </c>
    </row>
    <row r="265" spans="1:1" x14ac:dyDescent="0.25">
      <c r="A265" s="8" t="str">
        <f>SUBSTITUTE('PASTE RAW DATA HERE'!B249, "*", "@")</f>
        <v/>
      </c>
    </row>
    <row r="266" spans="1:1" x14ac:dyDescent="0.25">
      <c r="A266" s="8" t="str">
        <f>SUBSTITUTE('PASTE RAW DATA HERE'!B250, "*", "@")</f>
        <v/>
      </c>
    </row>
    <row r="267" spans="1:1" x14ac:dyDescent="0.25">
      <c r="A267" s="8" t="str">
        <f>SUBSTITUTE('PASTE RAW DATA HERE'!B251, "*", "@")</f>
        <v/>
      </c>
    </row>
    <row r="268" spans="1:1" x14ac:dyDescent="0.25">
      <c r="A268" s="8" t="str">
        <f>SUBSTITUTE('PASTE RAW DATA HERE'!B252, "*", "@")</f>
        <v/>
      </c>
    </row>
    <row r="269" spans="1:1" x14ac:dyDescent="0.25">
      <c r="A269" s="8" t="str">
        <f>SUBSTITUTE('PASTE RAW DATA HERE'!B253, "*", "@")</f>
        <v/>
      </c>
    </row>
    <row r="270" spans="1:1" x14ac:dyDescent="0.25">
      <c r="A270" s="8" t="str">
        <f>SUBSTITUTE('PASTE RAW DATA HERE'!B254, "*", "@")</f>
        <v/>
      </c>
    </row>
    <row r="271" spans="1:1" x14ac:dyDescent="0.25">
      <c r="A271" s="8" t="str">
        <f>SUBSTITUTE('PASTE RAW DATA HERE'!B255, "*", "@")</f>
        <v/>
      </c>
    </row>
    <row r="272" spans="1:1" x14ac:dyDescent="0.25">
      <c r="A272" s="8" t="str">
        <f>SUBSTITUTE('PASTE RAW DATA HERE'!B256, "*", "@")</f>
        <v/>
      </c>
    </row>
    <row r="273" spans="1:1" x14ac:dyDescent="0.25">
      <c r="A273" s="8" t="str">
        <f>SUBSTITUTE('PASTE RAW DATA HERE'!B257, "*", "@")</f>
        <v/>
      </c>
    </row>
    <row r="274" spans="1:1" x14ac:dyDescent="0.25">
      <c r="A274" s="8" t="str">
        <f>SUBSTITUTE('PASTE RAW DATA HERE'!B258, "*", "@")</f>
        <v/>
      </c>
    </row>
    <row r="275" spans="1:1" x14ac:dyDescent="0.25">
      <c r="A275" s="8" t="str">
        <f>SUBSTITUTE('PASTE RAW DATA HERE'!B259, "*", "@")</f>
        <v/>
      </c>
    </row>
    <row r="276" spans="1:1" x14ac:dyDescent="0.25">
      <c r="A276" s="8" t="str">
        <f>SUBSTITUTE('PASTE RAW DATA HERE'!B260, "*", "@")</f>
        <v/>
      </c>
    </row>
    <row r="277" spans="1:1" x14ac:dyDescent="0.25">
      <c r="A277" s="8" t="str">
        <f>SUBSTITUTE('PASTE RAW DATA HERE'!B261, "*", "@")</f>
        <v/>
      </c>
    </row>
    <row r="278" spans="1:1" x14ac:dyDescent="0.25">
      <c r="A278" s="8" t="str">
        <f>SUBSTITUTE('PASTE RAW DATA HERE'!B262, "*", "@")</f>
        <v/>
      </c>
    </row>
    <row r="279" spans="1:1" x14ac:dyDescent="0.25">
      <c r="A279" s="8" t="str">
        <f>SUBSTITUTE('PASTE RAW DATA HERE'!B263, "*", "@")</f>
        <v/>
      </c>
    </row>
    <row r="280" spans="1:1" x14ac:dyDescent="0.25">
      <c r="A280" s="8" t="str">
        <f>SUBSTITUTE('PASTE RAW DATA HERE'!B264, "*", "@")</f>
        <v/>
      </c>
    </row>
    <row r="281" spans="1:1" x14ac:dyDescent="0.25">
      <c r="A281" s="8" t="str">
        <f>SUBSTITUTE('PASTE RAW DATA HERE'!B265, "*", "@")</f>
        <v/>
      </c>
    </row>
    <row r="282" spans="1:1" x14ac:dyDescent="0.25">
      <c r="A282" s="8" t="str">
        <f>SUBSTITUTE('PASTE RAW DATA HERE'!B266, "*", "@")</f>
        <v/>
      </c>
    </row>
    <row r="283" spans="1:1" x14ac:dyDescent="0.25">
      <c r="A283" s="8" t="str">
        <f>SUBSTITUTE('PASTE RAW DATA HERE'!B267, "*", "@")</f>
        <v/>
      </c>
    </row>
    <row r="284" spans="1:1" x14ac:dyDescent="0.25">
      <c r="A284" s="8" t="str">
        <f>SUBSTITUTE('PASTE RAW DATA HERE'!B268, "*", "@")</f>
        <v/>
      </c>
    </row>
    <row r="285" spans="1:1" x14ac:dyDescent="0.25">
      <c r="A285" s="8" t="str">
        <f>SUBSTITUTE('PASTE RAW DATA HERE'!B269, "*", "@")</f>
        <v/>
      </c>
    </row>
    <row r="286" spans="1:1" x14ac:dyDescent="0.25">
      <c r="A286" s="8" t="str">
        <f>SUBSTITUTE('PASTE RAW DATA HERE'!B270, "*", "@")</f>
        <v/>
      </c>
    </row>
    <row r="287" spans="1:1" x14ac:dyDescent="0.25">
      <c r="A287" s="8" t="str">
        <f>SUBSTITUTE('PASTE RAW DATA HERE'!B271, "*", "@")</f>
        <v/>
      </c>
    </row>
    <row r="288" spans="1:1" x14ac:dyDescent="0.25">
      <c r="A288" s="8" t="str">
        <f>SUBSTITUTE('PASTE RAW DATA HERE'!B272, "*", "@")</f>
        <v/>
      </c>
    </row>
    <row r="289" spans="1:1" x14ac:dyDescent="0.25">
      <c r="A289" s="8" t="str">
        <f>SUBSTITUTE('PASTE RAW DATA HERE'!B273, "*", "@")</f>
        <v/>
      </c>
    </row>
    <row r="290" spans="1:1" x14ac:dyDescent="0.25">
      <c r="A290" s="8" t="str">
        <f>SUBSTITUTE('PASTE RAW DATA HERE'!B274, "*", "@")</f>
        <v/>
      </c>
    </row>
    <row r="291" spans="1:1" x14ac:dyDescent="0.25">
      <c r="A291" s="8" t="str">
        <f>SUBSTITUTE('PASTE RAW DATA HERE'!B275, "*", "@")</f>
        <v/>
      </c>
    </row>
    <row r="292" spans="1:1" x14ac:dyDescent="0.25">
      <c r="A292" s="8" t="str">
        <f>SUBSTITUTE('PASTE RAW DATA HERE'!B276, "*", "@")</f>
        <v/>
      </c>
    </row>
    <row r="293" spans="1:1" x14ac:dyDescent="0.25">
      <c r="A293" s="8" t="str">
        <f>SUBSTITUTE('PASTE RAW DATA HERE'!B277, "*", "@")</f>
        <v/>
      </c>
    </row>
    <row r="294" spans="1:1" x14ac:dyDescent="0.25">
      <c r="A294" s="8" t="str">
        <f>SUBSTITUTE('PASTE RAW DATA HERE'!B278, "*", "@")</f>
        <v/>
      </c>
    </row>
    <row r="295" spans="1:1" x14ac:dyDescent="0.25">
      <c r="A295" s="8" t="str">
        <f>SUBSTITUTE('PASTE RAW DATA HERE'!B279, "*", "@")</f>
        <v/>
      </c>
    </row>
    <row r="296" spans="1:1" x14ac:dyDescent="0.25">
      <c r="A296" s="8" t="str">
        <f>SUBSTITUTE('PASTE RAW DATA HERE'!B280, "*", "@")</f>
        <v/>
      </c>
    </row>
    <row r="297" spans="1:1" x14ac:dyDescent="0.25">
      <c r="A297" s="8" t="str">
        <f>SUBSTITUTE('PASTE RAW DATA HERE'!B281, "*", "@")</f>
        <v/>
      </c>
    </row>
    <row r="298" spans="1:1" x14ac:dyDescent="0.25">
      <c r="A298" s="8" t="str">
        <f>SUBSTITUTE('PASTE RAW DATA HERE'!B282, "*", "@")</f>
        <v/>
      </c>
    </row>
    <row r="299" spans="1:1" x14ac:dyDescent="0.25">
      <c r="A299" s="8" t="str">
        <f>SUBSTITUTE('PASTE RAW DATA HERE'!B283, "*", "@")</f>
        <v/>
      </c>
    </row>
    <row r="300" spans="1:1" x14ac:dyDescent="0.25">
      <c r="A300" s="8" t="str">
        <f>SUBSTITUTE('PASTE RAW DATA HERE'!B284, "*", "@")</f>
        <v/>
      </c>
    </row>
    <row r="301" spans="1:1" x14ac:dyDescent="0.25">
      <c r="A301" s="8" t="str">
        <f>SUBSTITUTE('PASTE RAW DATA HERE'!B285, "*", "@")</f>
        <v/>
      </c>
    </row>
    <row r="302" spans="1:1" x14ac:dyDescent="0.25">
      <c r="A302" s="8" t="str">
        <f>SUBSTITUTE('PASTE RAW DATA HERE'!B286, "*", "@")</f>
        <v/>
      </c>
    </row>
    <row r="303" spans="1:1" x14ac:dyDescent="0.25">
      <c r="A303" s="8" t="str">
        <f>SUBSTITUTE('PASTE RAW DATA HERE'!B287, "*", "@")</f>
        <v/>
      </c>
    </row>
    <row r="304" spans="1:1" x14ac:dyDescent="0.25">
      <c r="A304" s="8" t="str">
        <f>SUBSTITUTE('PASTE RAW DATA HERE'!B288, "*", "@")</f>
        <v/>
      </c>
    </row>
    <row r="305" spans="1:1" x14ac:dyDescent="0.25">
      <c r="A305" s="8" t="str">
        <f>SUBSTITUTE('PASTE RAW DATA HERE'!B289, "*", "@")</f>
        <v/>
      </c>
    </row>
    <row r="306" spans="1:1" x14ac:dyDescent="0.25">
      <c r="A306" s="8" t="str">
        <f>SUBSTITUTE('PASTE RAW DATA HERE'!B290, "*", "@")</f>
        <v/>
      </c>
    </row>
    <row r="307" spans="1:1" x14ac:dyDescent="0.25">
      <c r="A307" s="8" t="str">
        <f>SUBSTITUTE('PASTE RAW DATA HERE'!B291, "*", "@")</f>
        <v/>
      </c>
    </row>
    <row r="308" spans="1:1" x14ac:dyDescent="0.25">
      <c r="A308" s="8" t="str">
        <f>SUBSTITUTE('PASTE RAW DATA HERE'!B292, "*", "@")</f>
        <v/>
      </c>
    </row>
    <row r="309" spans="1:1" x14ac:dyDescent="0.25">
      <c r="A309" s="8" t="str">
        <f>SUBSTITUTE('PASTE RAW DATA HERE'!B293, "*", "@")</f>
        <v/>
      </c>
    </row>
    <row r="310" spans="1:1" x14ac:dyDescent="0.25">
      <c r="A310" s="8" t="str">
        <f>SUBSTITUTE('PASTE RAW DATA HERE'!B294, "*", "@")</f>
        <v/>
      </c>
    </row>
    <row r="311" spans="1:1" x14ac:dyDescent="0.25">
      <c r="A311" s="8" t="str">
        <f>SUBSTITUTE('PASTE RAW DATA HERE'!B295, "*", "@")</f>
        <v/>
      </c>
    </row>
    <row r="312" spans="1:1" x14ac:dyDescent="0.25">
      <c r="A312" s="8" t="str">
        <f>SUBSTITUTE('PASTE RAW DATA HERE'!B296, "*", "@")</f>
        <v/>
      </c>
    </row>
    <row r="313" spans="1:1" x14ac:dyDescent="0.25">
      <c r="A313" s="8" t="str">
        <f>SUBSTITUTE('PASTE RAW DATA HERE'!B297, "*", "@")</f>
        <v/>
      </c>
    </row>
    <row r="314" spans="1:1" x14ac:dyDescent="0.25">
      <c r="A314" s="8" t="str">
        <f>SUBSTITUTE('PASTE RAW DATA HERE'!B298, "*", "@")</f>
        <v/>
      </c>
    </row>
    <row r="315" spans="1:1" x14ac:dyDescent="0.25">
      <c r="A315" s="8" t="str">
        <f>SUBSTITUTE('PASTE RAW DATA HERE'!B299, "*", "@")</f>
        <v/>
      </c>
    </row>
    <row r="316" spans="1:1" x14ac:dyDescent="0.25">
      <c r="A316" s="8" t="str">
        <f>SUBSTITUTE('PASTE RAW DATA HERE'!B300, "*", "@")</f>
        <v/>
      </c>
    </row>
    <row r="317" spans="1:1" x14ac:dyDescent="0.25">
      <c r="A317" s="8" t="str">
        <f>SUBSTITUTE('PASTE RAW DATA HERE'!B301, "*", "@")</f>
        <v/>
      </c>
    </row>
    <row r="318" spans="1:1" x14ac:dyDescent="0.25">
      <c r="A318" s="8" t="str">
        <f>SUBSTITUTE('PASTE RAW DATA HERE'!B302, "*", "@")</f>
        <v/>
      </c>
    </row>
    <row r="319" spans="1:1" x14ac:dyDescent="0.25">
      <c r="A319" s="8" t="str">
        <f>SUBSTITUTE('PASTE RAW DATA HERE'!B303, "*", "@")</f>
        <v/>
      </c>
    </row>
    <row r="320" spans="1:1" x14ac:dyDescent="0.25">
      <c r="A320" s="8" t="str">
        <f>SUBSTITUTE('PASTE RAW DATA HERE'!B304, "*", "@")</f>
        <v/>
      </c>
    </row>
    <row r="321" spans="1:1" x14ac:dyDescent="0.25">
      <c r="A321" s="8" t="str">
        <f>SUBSTITUTE('PASTE RAW DATA HERE'!B305, "*", "@")</f>
        <v/>
      </c>
    </row>
    <row r="322" spans="1:1" x14ac:dyDescent="0.25">
      <c r="A322" s="8" t="str">
        <f>SUBSTITUTE('PASTE RAW DATA HERE'!B306, "*", "@")</f>
        <v/>
      </c>
    </row>
    <row r="323" spans="1:1" x14ac:dyDescent="0.25">
      <c r="A323" s="8" t="str">
        <f>SUBSTITUTE('PASTE RAW DATA HERE'!B307, "*", "@")</f>
        <v/>
      </c>
    </row>
    <row r="324" spans="1:1" x14ac:dyDescent="0.25">
      <c r="A324" s="8" t="str">
        <f>SUBSTITUTE('PASTE RAW DATA HERE'!B308, "*", "@")</f>
        <v/>
      </c>
    </row>
    <row r="325" spans="1:1" x14ac:dyDescent="0.25">
      <c r="A325" s="8" t="str">
        <f>SUBSTITUTE('PASTE RAW DATA HERE'!B309, "*", "@")</f>
        <v/>
      </c>
    </row>
    <row r="326" spans="1:1" x14ac:dyDescent="0.25">
      <c r="A326" s="8" t="str">
        <f>SUBSTITUTE('PASTE RAW DATA HERE'!B310, "*", "@")</f>
        <v/>
      </c>
    </row>
    <row r="327" spans="1:1" x14ac:dyDescent="0.25">
      <c r="A327" s="8" t="str">
        <f>SUBSTITUTE('PASTE RAW DATA HERE'!B311, "*", "@")</f>
        <v/>
      </c>
    </row>
    <row r="328" spans="1:1" x14ac:dyDescent="0.25">
      <c r="A328" s="8" t="str">
        <f>SUBSTITUTE('PASTE RAW DATA HERE'!B312, "*", "@")</f>
        <v/>
      </c>
    </row>
    <row r="329" spans="1:1" x14ac:dyDescent="0.25">
      <c r="A329" s="8" t="str">
        <f>SUBSTITUTE('PASTE RAW DATA HERE'!B313, "*", "@")</f>
        <v/>
      </c>
    </row>
    <row r="330" spans="1:1" x14ac:dyDescent="0.25">
      <c r="A330" s="8" t="str">
        <f>SUBSTITUTE('PASTE RAW DATA HERE'!B314, "*", "@")</f>
        <v/>
      </c>
    </row>
    <row r="331" spans="1:1" x14ac:dyDescent="0.25">
      <c r="A331" s="8" t="str">
        <f>SUBSTITUTE('PASTE RAW DATA HERE'!B315, "*", "@")</f>
        <v/>
      </c>
    </row>
    <row r="332" spans="1:1" x14ac:dyDescent="0.25">
      <c r="A332" s="8" t="str">
        <f>SUBSTITUTE('PASTE RAW DATA HERE'!B316, "*", "@")</f>
        <v/>
      </c>
    </row>
    <row r="333" spans="1:1" x14ac:dyDescent="0.25">
      <c r="A333" s="8" t="str">
        <f>SUBSTITUTE('PASTE RAW DATA HERE'!B317, "*", "@")</f>
        <v/>
      </c>
    </row>
    <row r="334" spans="1:1" x14ac:dyDescent="0.25">
      <c r="A334" s="8" t="str">
        <f>SUBSTITUTE('PASTE RAW DATA HERE'!B318, "*", "@")</f>
        <v/>
      </c>
    </row>
    <row r="335" spans="1:1" x14ac:dyDescent="0.25">
      <c r="A335" s="8" t="str">
        <f>SUBSTITUTE('PASTE RAW DATA HERE'!B319, "*", "@")</f>
        <v/>
      </c>
    </row>
    <row r="336" spans="1:1" x14ac:dyDescent="0.25">
      <c r="A336" s="8" t="str">
        <f>SUBSTITUTE('PASTE RAW DATA HERE'!B320, "*", "@")</f>
        <v/>
      </c>
    </row>
    <row r="337" spans="1:1" x14ac:dyDescent="0.25">
      <c r="A337" s="8" t="str">
        <f>SUBSTITUTE('PASTE RAW DATA HERE'!B321, "*", "@")</f>
        <v/>
      </c>
    </row>
    <row r="338" spans="1:1" x14ac:dyDescent="0.25">
      <c r="A338" s="8" t="str">
        <f>SUBSTITUTE('PASTE RAW DATA HERE'!B322, "*", "@")</f>
        <v/>
      </c>
    </row>
    <row r="339" spans="1:1" x14ac:dyDescent="0.25">
      <c r="A339" s="8" t="str">
        <f>SUBSTITUTE('PASTE RAW DATA HERE'!B323, "*", "@")</f>
        <v/>
      </c>
    </row>
    <row r="340" spans="1:1" x14ac:dyDescent="0.25">
      <c r="A340" s="8" t="str">
        <f>SUBSTITUTE('PASTE RAW DATA HERE'!B324, "*", "@")</f>
        <v/>
      </c>
    </row>
    <row r="341" spans="1:1" x14ac:dyDescent="0.25">
      <c r="A341" s="8" t="str">
        <f>SUBSTITUTE('PASTE RAW DATA HERE'!B325, "*", "@")</f>
        <v/>
      </c>
    </row>
    <row r="342" spans="1:1" x14ac:dyDescent="0.25">
      <c r="A342" s="8" t="str">
        <f>SUBSTITUTE('PASTE RAW DATA HERE'!B326, "*", "@")</f>
        <v/>
      </c>
    </row>
    <row r="343" spans="1:1" x14ac:dyDescent="0.25">
      <c r="A343" s="8" t="str">
        <f>SUBSTITUTE('PASTE RAW DATA HERE'!B327, "*", "@")</f>
        <v/>
      </c>
    </row>
    <row r="344" spans="1:1" x14ac:dyDescent="0.25">
      <c r="A344" s="8" t="str">
        <f>SUBSTITUTE('PASTE RAW DATA HERE'!B328, "*", "@")</f>
        <v/>
      </c>
    </row>
    <row r="345" spans="1:1" x14ac:dyDescent="0.25">
      <c r="A345" s="8" t="str">
        <f>SUBSTITUTE('PASTE RAW DATA HERE'!B329, "*", "@")</f>
        <v/>
      </c>
    </row>
    <row r="346" spans="1:1" x14ac:dyDescent="0.25">
      <c r="A346" s="8" t="str">
        <f>SUBSTITUTE('PASTE RAW DATA HERE'!B330, "*", "@")</f>
        <v/>
      </c>
    </row>
    <row r="347" spans="1:1" x14ac:dyDescent="0.25">
      <c r="A347" s="8" t="str">
        <f>SUBSTITUTE('PASTE RAW DATA HERE'!B331, "*", "@")</f>
        <v/>
      </c>
    </row>
    <row r="348" spans="1:1" x14ac:dyDescent="0.25">
      <c r="A348" s="8" t="str">
        <f>SUBSTITUTE('PASTE RAW DATA HERE'!B332, "*", "@")</f>
        <v/>
      </c>
    </row>
    <row r="349" spans="1:1" x14ac:dyDescent="0.25">
      <c r="A349" s="8" t="str">
        <f>SUBSTITUTE('PASTE RAW DATA HERE'!B333, "*", "@")</f>
        <v/>
      </c>
    </row>
    <row r="350" spans="1:1" x14ac:dyDescent="0.25">
      <c r="A350" s="8" t="str">
        <f>SUBSTITUTE('PASTE RAW DATA HERE'!B334, "*", "@")</f>
        <v/>
      </c>
    </row>
    <row r="351" spans="1:1" x14ac:dyDescent="0.25">
      <c r="A351" s="8" t="str">
        <f>SUBSTITUTE('PASTE RAW DATA HERE'!B335, "*", "@")</f>
        <v/>
      </c>
    </row>
    <row r="352" spans="1:1" x14ac:dyDescent="0.25">
      <c r="A352" s="8" t="str">
        <f>SUBSTITUTE('PASTE RAW DATA HERE'!B336, "*", "@")</f>
        <v/>
      </c>
    </row>
    <row r="353" spans="1:1" x14ac:dyDescent="0.25">
      <c r="A353" s="8" t="str">
        <f>SUBSTITUTE('PASTE RAW DATA HERE'!B337, "*", "@")</f>
        <v/>
      </c>
    </row>
    <row r="354" spans="1:1" x14ac:dyDescent="0.25">
      <c r="A354" s="8" t="str">
        <f>SUBSTITUTE('PASTE RAW DATA HERE'!B338, "*", "@")</f>
        <v/>
      </c>
    </row>
    <row r="355" spans="1:1" x14ac:dyDescent="0.25">
      <c r="A355" s="8" t="str">
        <f>SUBSTITUTE('PASTE RAW DATA HERE'!B339, "*", "@")</f>
        <v/>
      </c>
    </row>
    <row r="356" spans="1:1" x14ac:dyDescent="0.25">
      <c r="A356" s="8" t="str">
        <f>SUBSTITUTE('PASTE RAW DATA HERE'!B340, "*", "@")</f>
        <v/>
      </c>
    </row>
    <row r="357" spans="1:1" x14ac:dyDescent="0.25">
      <c r="A357" s="8" t="str">
        <f>SUBSTITUTE('PASTE RAW DATA HERE'!B341, "*", "@")</f>
        <v/>
      </c>
    </row>
    <row r="358" spans="1:1" x14ac:dyDescent="0.25">
      <c r="A358" s="8" t="str">
        <f>SUBSTITUTE('PASTE RAW DATA HERE'!B342, "*", "@")</f>
        <v/>
      </c>
    </row>
    <row r="359" spans="1:1" x14ac:dyDescent="0.25">
      <c r="A359" s="8" t="str">
        <f>SUBSTITUTE('PASTE RAW DATA HERE'!B343, "*", "@")</f>
        <v/>
      </c>
    </row>
    <row r="360" spans="1:1" x14ac:dyDescent="0.25">
      <c r="A360" s="8" t="str">
        <f>SUBSTITUTE('PASTE RAW DATA HERE'!B344, "*", "@")</f>
        <v/>
      </c>
    </row>
    <row r="361" spans="1:1" x14ac:dyDescent="0.25">
      <c r="A361" s="8" t="str">
        <f>SUBSTITUTE('PASTE RAW DATA HERE'!B345, "*", "@")</f>
        <v/>
      </c>
    </row>
    <row r="362" spans="1:1" x14ac:dyDescent="0.25">
      <c r="A362" s="8" t="str">
        <f>SUBSTITUTE('PASTE RAW DATA HERE'!B346, "*", "@")</f>
        <v/>
      </c>
    </row>
    <row r="363" spans="1:1" x14ac:dyDescent="0.25">
      <c r="A363" s="8" t="str">
        <f>SUBSTITUTE('PASTE RAW DATA HERE'!B347, "*", "@")</f>
        <v/>
      </c>
    </row>
    <row r="364" spans="1:1" x14ac:dyDescent="0.25">
      <c r="A364" s="8" t="str">
        <f>SUBSTITUTE('PASTE RAW DATA HERE'!B348, "*", "@")</f>
        <v/>
      </c>
    </row>
    <row r="365" spans="1:1" x14ac:dyDescent="0.25">
      <c r="A365" s="8" t="str">
        <f>SUBSTITUTE('PASTE RAW DATA HERE'!B349, "*", "@")</f>
        <v/>
      </c>
    </row>
    <row r="366" spans="1:1" x14ac:dyDescent="0.25">
      <c r="A366" s="8" t="str">
        <f>SUBSTITUTE('PASTE RAW DATA HERE'!B350, "*", "@")</f>
        <v/>
      </c>
    </row>
    <row r="367" spans="1:1" x14ac:dyDescent="0.25">
      <c r="A367" s="8" t="str">
        <f>SUBSTITUTE('PASTE RAW DATA HERE'!B351, "*", "@")</f>
        <v/>
      </c>
    </row>
    <row r="368" spans="1:1" x14ac:dyDescent="0.25">
      <c r="A368" s="8" t="str">
        <f>SUBSTITUTE('PASTE RAW DATA HERE'!B352, "*", "@")</f>
        <v/>
      </c>
    </row>
    <row r="369" spans="1:1" x14ac:dyDescent="0.25">
      <c r="A369" s="8" t="str">
        <f>SUBSTITUTE('PASTE RAW DATA HERE'!B353, "*", "@")</f>
        <v/>
      </c>
    </row>
    <row r="370" spans="1:1" x14ac:dyDescent="0.25">
      <c r="A370" s="8" t="str">
        <f>SUBSTITUTE('PASTE RAW DATA HERE'!B354, "*", "@")</f>
        <v/>
      </c>
    </row>
    <row r="371" spans="1:1" x14ac:dyDescent="0.25">
      <c r="A371" s="8" t="str">
        <f>SUBSTITUTE('PASTE RAW DATA HERE'!B355, "*", "@")</f>
        <v/>
      </c>
    </row>
    <row r="372" spans="1:1" x14ac:dyDescent="0.25">
      <c r="A372" s="8" t="str">
        <f>SUBSTITUTE('PASTE RAW DATA HERE'!B356, "*", "@")</f>
        <v/>
      </c>
    </row>
    <row r="373" spans="1:1" x14ac:dyDescent="0.25">
      <c r="A373" s="8" t="str">
        <f>SUBSTITUTE('PASTE RAW DATA HERE'!B357, "*", "@")</f>
        <v/>
      </c>
    </row>
    <row r="374" spans="1:1" x14ac:dyDescent="0.25">
      <c r="A374" s="8" t="str">
        <f>SUBSTITUTE('PASTE RAW DATA HERE'!B358, "*", "@")</f>
        <v/>
      </c>
    </row>
    <row r="375" spans="1:1" x14ac:dyDescent="0.25">
      <c r="A375" s="8" t="str">
        <f>SUBSTITUTE('PASTE RAW DATA HERE'!B359, "*", "@")</f>
        <v/>
      </c>
    </row>
    <row r="376" spans="1:1" x14ac:dyDescent="0.25">
      <c r="A376" s="8" t="str">
        <f>SUBSTITUTE('PASTE RAW DATA HERE'!B360, "*", "@")</f>
        <v/>
      </c>
    </row>
    <row r="377" spans="1:1" x14ac:dyDescent="0.25">
      <c r="A377" s="8" t="str">
        <f>SUBSTITUTE('PASTE RAW DATA HERE'!B361, "*", "@")</f>
        <v/>
      </c>
    </row>
    <row r="378" spans="1:1" x14ac:dyDescent="0.25">
      <c r="A378" s="8" t="str">
        <f>SUBSTITUTE('PASTE RAW DATA HERE'!B362, "*", "@")</f>
        <v/>
      </c>
    </row>
    <row r="379" spans="1:1" x14ac:dyDescent="0.25">
      <c r="A379" s="8" t="str">
        <f>SUBSTITUTE('PASTE RAW DATA HERE'!B363, "*", "@")</f>
        <v/>
      </c>
    </row>
    <row r="380" spans="1:1" x14ac:dyDescent="0.25">
      <c r="A380" s="8" t="str">
        <f>SUBSTITUTE('PASTE RAW DATA HERE'!B364, "*", "@")</f>
        <v/>
      </c>
    </row>
    <row r="381" spans="1:1" x14ac:dyDescent="0.25">
      <c r="A381" s="8" t="str">
        <f>SUBSTITUTE('PASTE RAW DATA HERE'!B365, "*", "@")</f>
        <v/>
      </c>
    </row>
    <row r="382" spans="1:1" x14ac:dyDescent="0.25">
      <c r="A382" s="8" t="str">
        <f>SUBSTITUTE('PASTE RAW DATA HERE'!B366, "*", "@")</f>
        <v/>
      </c>
    </row>
    <row r="383" spans="1:1" x14ac:dyDescent="0.25">
      <c r="A383" s="8" t="str">
        <f>SUBSTITUTE('PASTE RAW DATA HERE'!B367, "*", "@")</f>
        <v/>
      </c>
    </row>
    <row r="384" spans="1:1" x14ac:dyDescent="0.25">
      <c r="A384" s="8" t="str">
        <f>SUBSTITUTE('PASTE RAW DATA HERE'!B368, "*", "@")</f>
        <v/>
      </c>
    </row>
    <row r="385" spans="1:1" x14ac:dyDescent="0.25">
      <c r="A385" s="8" t="str">
        <f>SUBSTITUTE('PASTE RAW DATA HERE'!B369, "*", "@")</f>
        <v/>
      </c>
    </row>
    <row r="386" spans="1:1" x14ac:dyDescent="0.25">
      <c r="A386" s="8" t="str">
        <f>SUBSTITUTE('PASTE RAW DATA HERE'!B370, "*", "@")</f>
        <v/>
      </c>
    </row>
    <row r="387" spans="1:1" x14ac:dyDescent="0.25">
      <c r="A387" s="8" t="str">
        <f>SUBSTITUTE('PASTE RAW DATA HERE'!B371, "*", "@")</f>
        <v/>
      </c>
    </row>
    <row r="388" spans="1:1" x14ac:dyDescent="0.25">
      <c r="A388" s="8" t="str">
        <f>SUBSTITUTE('PASTE RAW DATA HERE'!B372, "*", "@")</f>
        <v/>
      </c>
    </row>
    <row r="389" spans="1:1" x14ac:dyDescent="0.25">
      <c r="A389" s="8" t="str">
        <f>SUBSTITUTE('PASTE RAW DATA HERE'!B373, "*", "@")</f>
        <v/>
      </c>
    </row>
    <row r="390" spans="1:1" x14ac:dyDescent="0.25">
      <c r="A390" s="8" t="str">
        <f>SUBSTITUTE('PASTE RAW DATA HERE'!B374, "*", "@")</f>
        <v/>
      </c>
    </row>
    <row r="391" spans="1:1" x14ac:dyDescent="0.25">
      <c r="A391" s="8" t="str">
        <f>SUBSTITUTE('PASTE RAW DATA HERE'!B375, "*", "@")</f>
        <v/>
      </c>
    </row>
    <row r="392" spans="1:1" x14ac:dyDescent="0.25">
      <c r="A392" s="8" t="str">
        <f>SUBSTITUTE('PASTE RAW DATA HERE'!B376, "*", "@")</f>
        <v/>
      </c>
    </row>
    <row r="393" spans="1:1" x14ac:dyDescent="0.25">
      <c r="A393" s="8" t="str">
        <f>SUBSTITUTE('PASTE RAW DATA HERE'!B377, "*", "@")</f>
        <v/>
      </c>
    </row>
    <row r="394" spans="1:1" x14ac:dyDescent="0.25">
      <c r="A394" s="8" t="str">
        <f>SUBSTITUTE('PASTE RAW DATA HERE'!B378, "*", "@")</f>
        <v/>
      </c>
    </row>
    <row r="395" spans="1:1" x14ac:dyDescent="0.25">
      <c r="A395" s="8" t="str">
        <f>SUBSTITUTE('PASTE RAW DATA HERE'!B379, "*", "@")</f>
        <v/>
      </c>
    </row>
    <row r="396" spans="1:1" x14ac:dyDescent="0.25">
      <c r="A396" s="8" t="str">
        <f>SUBSTITUTE('PASTE RAW DATA HERE'!B380, "*", "@")</f>
        <v/>
      </c>
    </row>
    <row r="397" spans="1:1" x14ac:dyDescent="0.25">
      <c r="A397" s="8" t="str">
        <f>SUBSTITUTE('PASTE RAW DATA HERE'!B381, "*", "@")</f>
        <v/>
      </c>
    </row>
    <row r="398" spans="1:1" x14ac:dyDescent="0.25">
      <c r="A398" s="8" t="str">
        <f>SUBSTITUTE('PASTE RAW DATA HERE'!B382, "*", "@")</f>
        <v/>
      </c>
    </row>
    <row r="399" spans="1:1" x14ac:dyDescent="0.25">
      <c r="A399" s="8" t="str">
        <f>SUBSTITUTE('PASTE RAW DATA HERE'!B383, "*", "@")</f>
        <v/>
      </c>
    </row>
    <row r="400" spans="1:1" x14ac:dyDescent="0.25">
      <c r="A400" s="8" t="str">
        <f>SUBSTITUTE('PASTE RAW DATA HERE'!B384, "*", "@")</f>
        <v/>
      </c>
    </row>
    <row r="401" spans="1:1" x14ac:dyDescent="0.25">
      <c r="A401" s="8" t="str">
        <f>SUBSTITUTE('PASTE RAW DATA HERE'!B385, "*", "@")</f>
        <v/>
      </c>
    </row>
    <row r="402" spans="1:1" x14ac:dyDescent="0.25">
      <c r="A402" s="8" t="str">
        <f>SUBSTITUTE('PASTE RAW DATA HERE'!B386, "*", "@")</f>
        <v/>
      </c>
    </row>
    <row r="403" spans="1:1" x14ac:dyDescent="0.25">
      <c r="A403" s="8" t="str">
        <f>SUBSTITUTE('PASTE RAW DATA HERE'!B387, "*", "@")</f>
        <v/>
      </c>
    </row>
    <row r="404" spans="1:1" x14ac:dyDescent="0.25">
      <c r="A404" s="8" t="str">
        <f>SUBSTITUTE('PASTE RAW DATA HERE'!B388, "*", "@")</f>
        <v/>
      </c>
    </row>
    <row r="405" spans="1:1" x14ac:dyDescent="0.25">
      <c r="A405" s="8" t="str">
        <f>SUBSTITUTE('PASTE RAW DATA HERE'!B389, "*", "@")</f>
        <v/>
      </c>
    </row>
    <row r="406" spans="1:1" x14ac:dyDescent="0.25">
      <c r="A406" s="8" t="str">
        <f>SUBSTITUTE('PASTE RAW DATA HERE'!B390, "*", "@")</f>
        <v/>
      </c>
    </row>
    <row r="407" spans="1:1" x14ac:dyDescent="0.25">
      <c r="A407" s="8" t="str">
        <f>SUBSTITUTE('PASTE RAW DATA HERE'!B391, "*", "@")</f>
        <v/>
      </c>
    </row>
    <row r="408" spans="1:1" x14ac:dyDescent="0.25">
      <c r="A408" s="8" t="str">
        <f>SUBSTITUTE('PASTE RAW DATA HERE'!B392, "*", "@")</f>
        <v/>
      </c>
    </row>
    <row r="409" spans="1:1" x14ac:dyDescent="0.25">
      <c r="A409" s="8" t="str">
        <f>SUBSTITUTE('PASTE RAW DATA HERE'!B393, "*", "@")</f>
        <v/>
      </c>
    </row>
    <row r="410" spans="1:1" x14ac:dyDescent="0.25">
      <c r="A410" s="8" t="str">
        <f>SUBSTITUTE('PASTE RAW DATA HERE'!B394, "*", "@")</f>
        <v/>
      </c>
    </row>
    <row r="411" spans="1:1" x14ac:dyDescent="0.25">
      <c r="A411" s="8" t="str">
        <f>SUBSTITUTE('PASTE RAW DATA HERE'!B395, "*", "@")</f>
        <v/>
      </c>
    </row>
    <row r="412" spans="1:1" x14ac:dyDescent="0.25">
      <c r="A412" s="8" t="str">
        <f>SUBSTITUTE('PASTE RAW DATA HERE'!B396, "*", "@")</f>
        <v/>
      </c>
    </row>
    <row r="413" spans="1:1" x14ac:dyDescent="0.25">
      <c r="A413" s="8" t="str">
        <f>SUBSTITUTE('PASTE RAW DATA HERE'!B397, "*", "@")</f>
        <v/>
      </c>
    </row>
    <row r="414" spans="1:1" x14ac:dyDescent="0.25">
      <c r="A414" s="8" t="str">
        <f>SUBSTITUTE('PASTE RAW DATA HERE'!B398, "*", "@")</f>
        <v/>
      </c>
    </row>
    <row r="415" spans="1:1" x14ac:dyDescent="0.25">
      <c r="A415" s="8" t="str">
        <f>SUBSTITUTE('PASTE RAW DATA HERE'!B399, "*", "@")</f>
        <v/>
      </c>
    </row>
    <row r="416" spans="1:1" x14ac:dyDescent="0.25">
      <c r="A416" s="8" t="str">
        <f>SUBSTITUTE('PASTE RAW DATA HERE'!B400, "*", "@")</f>
        <v/>
      </c>
    </row>
    <row r="417" spans="1:1" x14ac:dyDescent="0.25">
      <c r="A417" s="8" t="str">
        <f>SUBSTITUTE('PASTE RAW DATA HERE'!B401, "*", "@")</f>
        <v/>
      </c>
    </row>
    <row r="418" spans="1:1" x14ac:dyDescent="0.25">
      <c r="A418" s="8" t="str">
        <f>SUBSTITUTE('PASTE RAW DATA HERE'!B402, "*", "@")</f>
        <v/>
      </c>
    </row>
    <row r="419" spans="1:1" x14ac:dyDescent="0.25">
      <c r="A419" s="8" t="str">
        <f>SUBSTITUTE('PASTE RAW DATA HERE'!B403, "*", "@")</f>
        <v/>
      </c>
    </row>
    <row r="420" spans="1:1" x14ac:dyDescent="0.25">
      <c r="A420" s="8" t="str">
        <f>SUBSTITUTE('PASTE RAW DATA HERE'!B404, "*", "@")</f>
        <v/>
      </c>
    </row>
    <row r="421" spans="1:1" x14ac:dyDescent="0.25">
      <c r="A421" s="8" t="str">
        <f>SUBSTITUTE('PASTE RAW DATA HERE'!B405, "*", "@")</f>
        <v/>
      </c>
    </row>
    <row r="422" spans="1:1" x14ac:dyDescent="0.25">
      <c r="A422" s="8" t="str">
        <f>SUBSTITUTE('PASTE RAW DATA HERE'!B406, "*", "@")</f>
        <v/>
      </c>
    </row>
    <row r="423" spans="1:1" x14ac:dyDescent="0.25">
      <c r="A423" s="8" t="str">
        <f>SUBSTITUTE('PASTE RAW DATA HERE'!B407, "*", "@")</f>
        <v/>
      </c>
    </row>
    <row r="424" spans="1:1" x14ac:dyDescent="0.25">
      <c r="A424" s="8" t="str">
        <f>SUBSTITUTE('PASTE RAW DATA HERE'!B408, "*", "@")</f>
        <v/>
      </c>
    </row>
    <row r="425" spans="1:1" x14ac:dyDescent="0.25">
      <c r="A425" s="8" t="str">
        <f>SUBSTITUTE('PASTE RAW DATA HERE'!B409, "*", "@")</f>
        <v/>
      </c>
    </row>
    <row r="426" spans="1:1" x14ac:dyDescent="0.25">
      <c r="A426" s="8" t="str">
        <f>SUBSTITUTE('PASTE RAW DATA HERE'!B410, "*", "@")</f>
        <v/>
      </c>
    </row>
    <row r="427" spans="1:1" x14ac:dyDescent="0.25">
      <c r="A427" s="8" t="str">
        <f>SUBSTITUTE('PASTE RAW DATA HERE'!B411, "*", "@")</f>
        <v/>
      </c>
    </row>
    <row r="428" spans="1:1" x14ac:dyDescent="0.25">
      <c r="A428" s="8" t="str">
        <f>SUBSTITUTE('PASTE RAW DATA HERE'!B412, "*", "@")</f>
        <v/>
      </c>
    </row>
    <row r="429" spans="1:1" x14ac:dyDescent="0.25">
      <c r="A429" s="8" t="str">
        <f>SUBSTITUTE('PASTE RAW DATA HERE'!B413, "*", "@")</f>
        <v/>
      </c>
    </row>
    <row r="430" spans="1:1" x14ac:dyDescent="0.25">
      <c r="A430" s="8" t="str">
        <f>SUBSTITUTE('PASTE RAW DATA HERE'!B414, "*", "@")</f>
        <v/>
      </c>
    </row>
    <row r="431" spans="1:1" x14ac:dyDescent="0.25">
      <c r="A431" s="8" t="str">
        <f>SUBSTITUTE('PASTE RAW DATA HERE'!B415, "*", "@")</f>
        <v/>
      </c>
    </row>
    <row r="432" spans="1:1" x14ac:dyDescent="0.25">
      <c r="A432" s="8" t="str">
        <f>SUBSTITUTE('PASTE RAW DATA HERE'!B416, "*", "@")</f>
        <v/>
      </c>
    </row>
    <row r="433" spans="1:1" x14ac:dyDescent="0.25">
      <c r="A433" s="8" t="str">
        <f>SUBSTITUTE('PASTE RAW DATA HERE'!B417, "*", "@")</f>
        <v/>
      </c>
    </row>
    <row r="434" spans="1:1" x14ac:dyDescent="0.25">
      <c r="A434" s="8" t="str">
        <f>SUBSTITUTE('PASTE RAW DATA HERE'!B418, "*", "@")</f>
        <v/>
      </c>
    </row>
    <row r="435" spans="1:1" x14ac:dyDescent="0.25">
      <c r="A435" s="8" t="str">
        <f>SUBSTITUTE('PASTE RAW DATA HERE'!B419, "*", "@")</f>
        <v/>
      </c>
    </row>
    <row r="436" spans="1:1" x14ac:dyDescent="0.25">
      <c r="A436" s="8" t="str">
        <f>SUBSTITUTE('PASTE RAW DATA HERE'!B420, "*", "@")</f>
        <v/>
      </c>
    </row>
    <row r="437" spans="1:1" x14ac:dyDescent="0.25">
      <c r="A437" s="8" t="str">
        <f>SUBSTITUTE('PASTE RAW DATA HERE'!B421, "*", "@")</f>
        <v/>
      </c>
    </row>
    <row r="438" spans="1:1" x14ac:dyDescent="0.25">
      <c r="A438" s="8" t="str">
        <f>SUBSTITUTE('PASTE RAW DATA HERE'!B422, "*", "@")</f>
        <v/>
      </c>
    </row>
    <row r="439" spans="1:1" x14ac:dyDescent="0.25">
      <c r="A439" s="8" t="str">
        <f>SUBSTITUTE('PASTE RAW DATA HERE'!B423, "*", "@")</f>
        <v/>
      </c>
    </row>
    <row r="440" spans="1:1" x14ac:dyDescent="0.25">
      <c r="A440" s="8" t="str">
        <f>SUBSTITUTE('PASTE RAW DATA HERE'!B424, "*", "@")</f>
        <v/>
      </c>
    </row>
    <row r="441" spans="1:1" x14ac:dyDescent="0.25">
      <c r="A441" s="8" t="str">
        <f>SUBSTITUTE('PASTE RAW DATA HERE'!B425, "*", "@")</f>
        <v/>
      </c>
    </row>
    <row r="442" spans="1:1" x14ac:dyDescent="0.25">
      <c r="A442" s="8" t="str">
        <f>SUBSTITUTE('PASTE RAW DATA HERE'!B426, "*", "@")</f>
        <v/>
      </c>
    </row>
    <row r="443" spans="1:1" x14ac:dyDescent="0.25">
      <c r="A443" s="8" t="str">
        <f>SUBSTITUTE('PASTE RAW DATA HERE'!B427, "*", "@")</f>
        <v/>
      </c>
    </row>
    <row r="444" spans="1:1" x14ac:dyDescent="0.25">
      <c r="A444" s="8" t="str">
        <f>SUBSTITUTE('PASTE RAW DATA HERE'!B428, "*", "@")</f>
        <v/>
      </c>
    </row>
    <row r="445" spans="1:1" x14ac:dyDescent="0.25">
      <c r="A445" s="8" t="str">
        <f>SUBSTITUTE('PASTE RAW DATA HERE'!B429, "*", "@")</f>
        <v/>
      </c>
    </row>
    <row r="446" spans="1:1" x14ac:dyDescent="0.25">
      <c r="A446" s="8" t="str">
        <f>SUBSTITUTE('PASTE RAW DATA HERE'!B430, "*", "@")</f>
        <v/>
      </c>
    </row>
    <row r="447" spans="1:1" x14ac:dyDescent="0.25">
      <c r="A447" s="8" t="str">
        <f>SUBSTITUTE('PASTE RAW DATA HERE'!B431, "*", "@")</f>
        <v/>
      </c>
    </row>
    <row r="448" spans="1:1" x14ac:dyDescent="0.25">
      <c r="A448" s="8" t="str">
        <f>SUBSTITUTE('PASTE RAW DATA HERE'!B432, "*", "@")</f>
        <v/>
      </c>
    </row>
    <row r="449" spans="1:1" x14ac:dyDescent="0.25">
      <c r="A449" s="8" t="str">
        <f>SUBSTITUTE('PASTE RAW DATA HERE'!B433, "*", "@")</f>
        <v/>
      </c>
    </row>
    <row r="450" spans="1:1" x14ac:dyDescent="0.25">
      <c r="A450" s="8" t="str">
        <f>SUBSTITUTE('PASTE RAW DATA HERE'!B434, "*", "@")</f>
        <v/>
      </c>
    </row>
    <row r="451" spans="1:1" x14ac:dyDescent="0.25">
      <c r="A451" s="8" t="str">
        <f>SUBSTITUTE('PASTE RAW DATA HERE'!B435, "*", "@")</f>
        <v/>
      </c>
    </row>
    <row r="452" spans="1:1" x14ac:dyDescent="0.25">
      <c r="A452" s="8" t="str">
        <f>SUBSTITUTE('PASTE RAW DATA HERE'!B436, "*", "@")</f>
        <v/>
      </c>
    </row>
    <row r="453" spans="1:1" x14ac:dyDescent="0.25">
      <c r="A453" s="8" t="str">
        <f>SUBSTITUTE('PASTE RAW DATA HERE'!B437, "*", "@")</f>
        <v/>
      </c>
    </row>
    <row r="454" spans="1:1" x14ac:dyDescent="0.25">
      <c r="A454" s="8" t="str">
        <f>SUBSTITUTE('PASTE RAW DATA HERE'!B438, "*", "@")</f>
        <v/>
      </c>
    </row>
    <row r="455" spans="1:1" x14ac:dyDescent="0.25">
      <c r="A455" s="8" t="str">
        <f>SUBSTITUTE('PASTE RAW DATA HERE'!B439, "*", "@")</f>
        <v/>
      </c>
    </row>
    <row r="456" spans="1:1" x14ac:dyDescent="0.25">
      <c r="A456" s="8" t="str">
        <f>SUBSTITUTE('PASTE RAW DATA HERE'!B440, "*", "@")</f>
        <v/>
      </c>
    </row>
    <row r="457" spans="1:1" x14ac:dyDescent="0.25">
      <c r="A457" s="8" t="str">
        <f>SUBSTITUTE('PASTE RAW DATA HERE'!B441, "*", "@")</f>
        <v/>
      </c>
    </row>
    <row r="458" spans="1:1" x14ac:dyDescent="0.25">
      <c r="A458" s="8" t="str">
        <f>SUBSTITUTE('PASTE RAW DATA HERE'!B442, "*", "@")</f>
        <v/>
      </c>
    </row>
    <row r="459" spans="1:1" x14ac:dyDescent="0.25">
      <c r="A459" s="8" t="str">
        <f>SUBSTITUTE('PASTE RAW DATA HERE'!B443, "*", "@")</f>
        <v/>
      </c>
    </row>
    <row r="460" spans="1:1" x14ac:dyDescent="0.25">
      <c r="A460" s="8" t="str">
        <f>SUBSTITUTE('PASTE RAW DATA HERE'!B444, "*", "@")</f>
        <v/>
      </c>
    </row>
    <row r="461" spans="1:1" x14ac:dyDescent="0.25">
      <c r="A461" s="8" t="str">
        <f>SUBSTITUTE('PASTE RAW DATA HERE'!B445, "*", "@")</f>
        <v/>
      </c>
    </row>
    <row r="462" spans="1:1" x14ac:dyDescent="0.25">
      <c r="A462" s="8" t="str">
        <f>SUBSTITUTE('PASTE RAW DATA HERE'!B446, "*", "@")</f>
        <v/>
      </c>
    </row>
    <row r="463" spans="1:1" x14ac:dyDescent="0.25">
      <c r="A463" s="8" t="str">
        <f>SUBSTITUTE('PASTE RAW DATA HERE'!B447, "*", "@")</f>
        <v/>
      </c>
    </row>
    <row r="464" spans="1:1" x14ac:dyDescent="0.25">
      <c r="A464" s="8" t="str">
        <f>SUBSTITUTE('PASTE RAW DATA HERE'!B448, "*", "@")</f>
        <v/>
      </c>
    </row>
    <row r="465" spans="1:1" x14ac:dyDescent="0.25">
      <c r="A465" s="8" t="str">
        <f>SUBSTITUTE('PASTE RAW DATA HERE'!B449, "*", "@")</f>
        <v/>
      </c>
    </row>
    <row r="466" spans="1:1" x14ac:dyDescent="0.25">
      <c r="A466" s="8" t="str">
        <f>SUBSTITUTE('PASTE RAW DATA HERE'!B450, "*", "@")</f>
        <v/>
      </c>
    </row>
    <row r="467" spans="1:1" x14ac:dyDescent="0.25">
      <c r="A467" s="8" t="str">
        <f>SUBSTITUTE('PASTE RAW DATA HERE'!B451, "*", "@")</f>
        <v/>
      </c>
    </row>
    <row r="468" spans="1:1" x14ac:dyDescent="0.25">
      <c r="A468" s="8" t="str">
        <f>SUBSTITUTE('PASTE RAW DATA HERE'!B452, "*", "@")</f>
        <v/>
      </c>
    </row>
    <row r="469" spans="1:1" x14ac:dyDescent="0.25">
      <c r="A469" s="8" t="str">
        <f>SUBSTITUTE('PASTE RAW DATA HERE'!B453, "*", "@")</f>
        <v/>
      </c>
    </row>
    <row r="470" spans="1:1" x14ac:dyDescent="0.25">
      <c r="A470" s="8" t="str">
        <f>SUBSTITUTE('PASTE RAW DATA HERE'!B454, "*", "@")</f>
        <v/>
      </c>
    </row>
    <row r="471" spans="1:1" x14ac:dyDescent="0.25">
      <c r="A471" s="8" t="str">
        <f>SUBSTITUTE('PASTE RAW DATA HERE'!B455, "*", "@")</f>
        <v/>
      </c>
    </row>
    <row r="472" spans="1:1" x14ac:dyDescent="0.25">
      <c r="A472" s="8" t="str">
        <f>SUBSTITUTE('PASTE RAW DATA HERE'!B456, "*", "@")</f>
        <v/>
      </c>
    </row>
    <row r="473" spans="1:1" x14ac:dyDescent="0.25">
      <c r="A473" s="8" t="str">
        <f>SUBSTITUTE('PASTE RAW DATA HERE'!B457, "*", "@")</f>
        <v/>
      </c>
    </row>
    <row r="474" spans="1:1" x14ac:dyDescent="0.25">
      <c r="A474" s="8" t="str">
        <f>SUBSTITUTE('PASTE RAW DATA HERE'!B458, "*", "@")</f>
        <v/>
      </c>
    </row>
    <row r="475" spans="1:1" x14ac:dyDescent="0.25">
      <c r="A475" s="8" t="str">
        <f>SUBSTITUTE('PASTE RAW DATA HERE'!B459, "*", "@")</f>
        <v/>
      </c>
    </row>
    <row r="476" spans="1:1" x14ac:dyDescent="0.25">
      <c r="A476" s="8" t="str">
        <f>SUBSTITUTE('PASTE RAW DATA HERE'!B460, "*", "@")</f>
        <v/>
      </c>
    </row>
    <row r="477" spans="1:1" x14ac:dyDescent="0.25">
      <c r="A477" s="8" t="str">
        <f>SUBSTITUTE('PASTE RAW DATA HERE'!B461, "*", "@")</f>
        <v/>
      </c>
    </row>
    <row r="478" spans="1:1" x14ac:dyDescent="0.25">
      <c r="A478" s="8" t="str">
        <f>SUBSTITUTE('PASTE RAW DATA HERE'!B462, "*", "@")</f>
        <v/>
      </c>
    </row>
    <row r="479" spans="1:1" x14ac:dyDescent="0.25">
      <c r="A479" s="8" t="str">
        <f>SUBSTITUTE('PASTE RAW DATA HERE'!B463, "*", "@")</f>
        <v/>
      </c>
    </row>
    <row r="480" spans="1:1" x14ac:dyDescent="0.25">
      <c r="A480" s="8" t="str">
        <f>SUBSTITUTE('PASTE RAW DATA HERE'!B464, "*", "@")</f>
        <v/>
      </c>
    </row>
    <row r="481" spans="1:1" x14ac:dyDescent="0.25">
      <c r="A481" s="8" t="str">
        <f>SUBSTITUTE('PASTE RAW DATA HERE'!B465, "*", "@")</f>
        <v/>
      </c>
    </row>
    <row r="482" spans="1:1" x14ac:dyDescent="0.25">
      <c r="A482" s="8" t="str">
        <f>SUBSTITUTE('PASTE RAW DATA HERE'!B466, "*", "@")</f>
        <v/>
      </c>
    </row>
    <row r="483" spans="1:1" x14ac:dyDescent="0.25">
      <c r="A483" s="8" t="str">
        <f>SUBSTITUTE('PASTE RAW DATA HERE'!B467, "*", "@")</f>
        <v/>
      </c>
    </row>
    <row r="484" spans="1:1" x14ac:dyDescent="0.25">
      <c r="A484" s="8" t="str">
        <f>SUBSTITUTE('PASTE RAW DATA HERE'!B468, "*", "@")</f>
        <v/>
      </c>
    </row>
    <row r="485" spans="1:1" x14ac:dyDescent="0.25">
      <c r="A485" s="8" t="str">
        <f>SUBSTITUTE('PASTE RAW DATA HERE'!B469, "*", "@")</f>
        <v/>
      </c>
    </row>
    <row r="486" spans="1:1" x14ac:dyDescent="0.25">
      <c r="A486" s="8" t="str">
        <f>SUBSTITUTE('PASTE RAW DATA HERE'!B470, "*", "@")</f>
        <v/>
      </c>
    </row>
    <row r="487" spans="1:1" x14ac:dyDescent="0.25">
      <c r="A487" s="8" t="str">
        <f>SUBSTITUTE('PASTE RAW DATA HERE'!B471, "*", "@")</f>
        <v/>
      </c>
    </row>
    <row r="488" spans="1:1" x14ac:dyDescent="0.25">
      <c r="A488" s="8" t="str">
        <f>SUBSTITUTE('PASTE RAW DATA HERE'!B472, "*", "@")</f>
        <v/>
      </c>
    </row>
    <row r="489" spans="1:1" x14ac:dyDescent="0.25">
      <c r="A489" s="8" t="str">
        <f>SUBSTITUTE('PASTE RAW DATA HERE'!B473, "*", "@")</f>
        <v/>
      </c>
    </row>
    <row r="490" spans="1:1" x14ac:dyDescent="0.25">
      <c r="A490" s="8" t="str">
        <f>SUBSTITUTE('PASTE RAW DATA HERE'!B474, "*", "@")</f>
        <v/>
      </c>
    </row>
    <row r="491" spans="1:1" x14ac:dyDescent="0.25">
      <c r="A491" s="8" t="str">
        <f>SUBSTITUTE('PASTE RAW DATA HERE'!B475, "*", "@")</f>
        <v/>
      </c>
    </row>
    <row r="492" spans="1:1" x14ac:dyDescent="0.25">
      <c r="A492" s="8" t="str">
        <f>SUBSTITUTE('PASTE RAW DATA HERE'!B476, "*", "@")</f>
        <v/>
      </c>
    </row>
    <row r="493" spans="1:1" x14ac:dyDescent="0.25">
      <c r="A493" s="8" t="str">
        <f>SUBSTITUTE('PASTE RAW DATA HERE'!B477, "*", "@")</f>
        <v/>
      </c>
    </row>
    <row r="494" spans="1:1" x14ac:dyDescent="0.25">
      <c r="A494" s="8" t="str">
        <f>SUBSTITUTE('PASTE RAW DATA HERE'!B478, "*", "@")</f>
        <v/>
      </c>
    </row>
    <row r="495" spans="1:1" x14ac:dyDescent="0.25">
      <c r="A495" s="8" t="str">
        <f>SUBSTITUTE('PASTE RAW DATA HERE'!B479, "*", "@")</f>
        <v/>
      </c>
    </row>
    <row r="496" spans="1:1" x14ac:dyDescent="0.25">
      <c r="A496" s="8" t="str">
        <f>SUBSTITUTE('PASTE RAW DATA HERE'!B480, "*", "@")</f>
        <v/>
      </c>
    </row>
    <row r="497" spans="1:1" x14ac:dyDescent="0.25">
      <c r="A497" s="8" t="str">
        <f>SUBSTITUTE('PASTE RAW DATA HERE'!B481, "*", "@")</f>
        <v/>
      </c>
    </row>
    <row r="498" spans="1:1" x14ac:dyDescent="0.25">
      <c r="A498" s="8" t="str">
        <f>SUBSTITUTE('PASTE RAW DATA HERE'!B482, "*", "@")</f>
        <v/>
      </c>
    </row>
    <row r="499" spans="1:1" x14ac:dyDescent="0.25">
      <c r="A499" s="8" t="str">
        <f>SUBSTITUTE('PASTE RAW DATA HERE'!B483, "*", "@")</f>
        <v/>
      </c>
    </row>
    <row r="500" spans="1:1" x14ac:dyDescent="0.25">
      <c r="A500" s="8" t="str">
        <f>SUBSTITUTE('PASTE RAW DATA HERE'!B484, "*", "@")</f>
        <v/>
      </c>
    </row>
    <row r="501" spans="1:1" x14ac:dyDescent="0.25">
      <c r="A501" s="8" t="str">
        <f>SUBSTITUTE('PASTE RAW DATA HERE'!B485, "*", "@")</f>
        <v/>
      </c>
    </row>
    <row r="502" spans="1:1" x14ac:dyDescent="0.25">
      <c r="A502" s="8" t="str">
        <f>SUBSTITUTE('PASTE RAW DATA HERE'!B486, "*", "@")</f>
        <v/>
      </c>
    </row>
    <row r="503" spans="1:1" x14ac:dyDescent="0.25">
      <c r="A503" s="8" t="str">
        <f>SUBSTITUTE('PASTE RAW DATA HERE'!B487, "*", "@")</f>
        <v/>
      </c>
    </row>
    <row r="504" spans="1:1" x14ac:dyDescent="0.25">
      <c r="A504" s="8" t="str">
        <f>SUBSTITUTE('PASTE RAW DATA HERE'!B488, "*", "@")</f>
        <v/>
      </c>
    </row>
    <row r="505" spans="1:1" x14ac:dyDescent="0.25">
      <c r="A505" s="8" t="str">
        <f>SUBSTITUTE('PASTE RAW DATA HERE'!B489, "*", "@")</f>
        <v/>
      </c>
    </row>
    <row r="506" spans="1:1" x14ac:dyDescent="0.25">
      <c r="A506" s="8" t="str">
        <f>SUBSTITUTE('PASTE RAW DATA HERE'!B490, "*", "@")</f>
        <v/>
      </c>
    </row>
    <row r="507" spans="1:1" x14ac:dyDescent="0.25">
      <c r="A507" s="8" t="str">
        <f>SUBSTITUTE('PASTE RAW DATA HERE'!B491, "*", "@")</f>
        <v/>
      </c>
    </row>
    <row r="508" spans="1:1" x14ac:dyDescent="0.25">
      <c r="A508" s="8" t="str">
        <f>SUBSTITUTE('PASTE RAW DATA HERE'!B492, "*", "@")</f>
        <v/>
      </c>
    </row>
    <row r="509" spans="1:1" x14ac:dyDescent="0.25">
      <c r="A509" s="8" t="str">
        <f>SUBSTITUTE('PASTE RAW DATA HERE'!B493, "*", "@")</f>
        <v/>
      </c>
    </row>
    <row r="510" spans="1:1" x14ac:dyDescent="0.25">
      <c r="A510" s="8" t="str">
        <f>SUBSTITUTE('PASTE RAW DATA HERE'!B494, "*", "@")</f>
        <v/>
      </c>
    </row>
    <row r="511" spans="1:1" x14ac:dyDescent="0.25">
      <c r="A511" s="8" t="str">
        <f>SUBSTITUTE('PASTE RAW DATA HERE'!B495, "*", "@")</f>
        <v/>
      </c>
    </row>
    <row r="512" spans="1:1" x14ac:dyDescent="0.25">
      <c r="A512" s="8" t="str">
        <f>SUBSTITUTE('PASTE RAW DATA HERE'!B496, "*", "@")</f>
        <v/>
      </c>
    </row>
    <row r="513" spans="1:1" x14ac:dyDescent="0.25">
      <c r="A513" s="8" t="str">
        <f>SUBSTITUTE('PASTE RAW DATA HERE'!B497, "*", "@")</f>
        <v/>
      </c>
    </row>
    <row r="514" spans="1:1" x14ac:dyDescent="0.25">
      <c r="A514" s="8" t="str">
        <f>SUBSTITUTE('PASTE RAW DATA HERE'!B498, "*", "@")</f>
        <v/>
      </c>
    </row>
    <row r="515" spans="1:1" x14ac:dyDescent="0.25">
      <c r="A515" s="8" t="str">
        <f>SUBSTITUTE('PASTE RAW DATA HERE'!B499, "*", "@")</f>
        <v/>
      </c>
    </row>
    <row r="516" spans="1:1" x14ac:dyDescent="0.25">
      <c r="A516" s="8" t="str">
        <f>SUBSTITUTE('PASTE RAW DATA HERE'!B500, "*", "@")</f>
        <v/>
      </c>
    </row>
    <row r="517" spans="1:1" x14ac:dyDescent="0.25">
      <c r="A517" s="8" t="str">
        <f>SUBSTITUTE('PASTE RAW DATA HERE'!B501, "*", "@")</f>
        <v/>
      </c>
    </row>
    <row r="518" spans="1:1" x14ac:dyDescent="0.25">
      <c r="A518" s="8" t="str">
        <f>SUBSTITUTE('PASTE RAW DATA HERE'!B502, "*", "@")</f>
        <v/>
      </c>
    </row>
    <row r="519" spans="1:1" x14ac:dyDescent="0.25">
      <c r="A519" s="8" t="str">
        <f>SUBSTITUTE('PASTE RAW DATA HERE'!B503, "*", "@")</f>
        <v/>
      </c>
    </row>
    <row r="520" spans="1:1" x14ac:dyDescent="0.25">
      <c r="A520" s="8" t="str">
        <f>SUBSTITUTE('PASTE RAW DATA HERE'!B504, "*", "@")</f>
        <v/>
      </c>
    </row>
    <row r="521" spans="1:1" x14ac:dyDescent="0.25">
      <c r="A521" s="8" t="str">
        <f>SUBSTITUTE('PASTE RAW DATA HERE'!B505, "*", "@")</f>
        <v/>
      </c>
    </row>
    <row r="522" spans="1:1" x14ac:dyDescent="0.25">
      <c r="A522" s="8" t="str">
        <f>SUBSTITUTE('PASTE RAW DATA HERE'!B506, "*", "@")</f>
        <v/>
      </c>
    </row>
    <row r="523" spans="1:1" x14ac:dyDescent="0.25">
      <c r="A523" s="8" t="str">
        <f>SUBSTITUTE('PASTE RAW DATA HERE'!B507, "*", "@")</f>
        <v/>
      </c>
    </row>
    <row r="524" spans="1:1" x14ac:dyDescent="0.25">
      <c r="A524" s="8" t="str">
        <f>SUBSTITUTE('PASTE RAW DATA HERE'!B508, "*", "@")</f>
        <v/>
      </c>
    </row>
    <row r="525" spans="1:1" x14ac:dyDescent="0.25">
      <c r="A525" s="8" t="str">
        <f>SUBSTITUTE('PASTE RAW DATA HERE'!B509, "*", "@")</f>
        <v/>
      </c>
    </row>
    <row r="526" spans="1:1" x14ac:dyDescent="0.25">
      <c r="A526" s="8" t="str">
        <f>SUBSTITUTE('PASTE RAW DATA HERE'!B510, "*", "@")</f>
        <v/>
      </c>
    </row>
    <row r="527" spans="1:1" x14ac:dyDescent="0.25">
      <c r="A527" s="8" t="str">
        <f>SUBSTITUTE('PASTE RAW DATA HERE'!B511, "*", "@")</f>
        <v/>
      </c>
    </row>
    <row r="528" spans="1:1" x14ac:dyDescent="0.25">
      <c r="A528" s="8" t="str">
        <f>SUBSTITUTE('PASTE RAW DATA HERE'!B512, "*", "@")</f>
        <v/>
      </c>
    </row>
    <row r="529" spans="1:1" x14ac:dyDescent="0.25">
      <c r="A529" s="8" t="str">
        <f>SUBSTITUTE('PASTE RAW DATA HERE'!B513, "*", "@")</f>
        <v/>
      </c>
    </row>
    <row r="530" spans="1:1" x14ac:dyDescent="0.25">
      <c r="A530" s="8" t="str">
        <f>SUBSTITUTE('PASTE RAW DATA HERE'!B514, "*", "@")</f>
        <v/>
      </c>
    </row>
    <row r="531" spans="1:1" x14ac:dyDescent="0.25">
      <c r="A531" s="8" t="str">
        <f>SUBSTITUTE('PASTE RAW DATA HERE'!B515, "*", "@")</f>
        <v/>
      </c>
    </row>
    <row r="532" spans="1:1" x14ac:dyDescent="0.25">
      <c r="A532" s="8" t="str">
        <f>SUBSTITUTE('PASTE RAW DATA HERE'!B516, "*", "@")</f>
        <v/>
      </c>
    </row>
    <row r="533" spans="1:1" x14ac:dyDescent="0.25">
      <c r="A533" s="8" t="str">
        <f>SUBSTITUTE('PASTE RAW DATA HERE'!B517, "*", "@")</f>
        <v/>
      </c>
    </row>
    <row r="534" spans="1:1" x14ac:dyDescent="0.25">
      <c r="A534" s="8" t="str">
        <f>SUBSTITUTE('PASTE RAW DATA HERE'!B518, "*", "@")</f>
        <v/>
      </c>
    </row>
    <row r="535" spans="1:1" x14ac:dyDescent="0.25">
      <c r="A535" s="8" t="str">
        <f>SUBSTITUTE('PASTE RAW DATA HERE'!B519, "*", "@")</f>
        <v/>
      </c>
    </row>
    <row r="536" spans="1:1" x14ac:dyDescent="0.25">
      <c r="A536" s="8" t="str">
        <f>SUBSTITUTE('PASTE RAW DATA HERE'!B520, "*", "@")</f>
        <v/>
      </c>
    </row>
    <row r="537" spans="1:1" x14ac:dyDescent="0.25">
      <c r="A537" s="8" t="str">
        <f>SUBSTITUTE('PASTE RAW DATA HERE'!B521, "*", "@")</f>
        <v/>
      </c>
    </row>
    <row r="538" spans="1:1" x14ac:dyDescent="0.25">
      <c r="A538" s="8" t="str">
        <f>SUBSTITUTE('PASTE RAW DATA HERE'!B522, "*", "@")</f>
        <v/>
      </c>
    </row>
    <row r="539" spans="1:1" x14ac:dyDescent="0.25">
      <c r="A539" s="8" t="str">
        <f>SUBSTITUTE('PASTE RAW DATA HERE'!B523, "*", "@")</f>
        <v/>
      </c>
    </row>
    <row r="540" spans="1:1" x14ac:dyDescent="0.25">
      <c r="A540" s="8" t="str">
        <f>SUBSTITUTE('PASTE RAW DATA HERE'!B524, "*", "@")</f>
        <v/>
      </c>
    </row>
    <row r="541" spans="1:1" x14ac:dyDescent="0.25">
      <c r="A541" s="8" t="str">
        <f>SUBSTITUTE('PASTE RAW DATA HERE'!B525, "*", "@")</f>
        <v/>
      </c>
    </row>
    <row r="542" spans="1:1" x14ac:dyDescent="0.25">
      <c r="A542" s="8" t="str">
        <f>SUBSTITUTE('PASTE RAW DATA HERE'!B526, "*", "@")</f>
        <v/>
      </c>
    </row>
    <row r="543" spans="1:1" x14ac:dyDescent="0.25">
      <c r="A543" s="8" t="str">
        <f>SUBSTITUTE('PASTE RAW DATA HERE'!B527, "*", "@")</f>
        <v/>
      </c>
    </row>
    <row r="544" spans="1:1" x14ac:dyDescent="0.25">
      <c r="A544" s="8" t="str">
        <f>SUBSTITUTE('PASTE RAW DATA HERE'!B528, "*", "@")</f>
        <v/>
      </c>
    </row>
    <row r="545" spans="1:1" x14ac:dyDescent="0.25">
      <c r="A545" s="8" t="str">
        <f>SUBSTITUTE('PASTE RAW DATA HERE'!B529, "*", "@")</f>
        <v/>
      </c>
    </row>
    <row r="546" spans="1:1" x14ac:dyDescent="0.25">
      <c r="A546" s="8" t="str">
        <f>SUBSTITUTE('PASTE RAW DATA HERE'!B530, "*", "@")</f>
        <v/>
      </c>
    </row>
    <row r="547" spans="1:1" x14ac:dyDescent="0.25">
      <c r="A547" s="8" t="str">
        <f>SUBSTITUTE('PASTE RAW DATA HERE'!B531, "*", "@")</f>
        <v/>
      </c>
    </row>
    <row r="548" spans="1:1" x14ac:dyDescent="0.25">
      <c r="A548" s="8" t="str">
        <f>SUBSTITUTE('PASTE RAW DATA HERE'!B532, "*", "@")</f>
        <v/>
      </c>
    </row>
    <row r="549" spans="1:1" x14ac:dyDescent="0.25">
      <c r="A549" s="8" t="str">
        <f>SUBSTITUTE('PASTE RAW DATA HERE'!B533, "*", "@")</f>
        <v/>
      </c>
    </row>
    <row r="550" spans="1:1" x14ac:dyDescent="0.25">
      <c r="A550" s="8" t="str">
        <f>SUBSTITUTE('PASTE RAW DATA HERE'!B534, "*", "@")</f>
        <v/>
      </c>
    </row>
    <row r="551" spans="1:1" x14ac:dyDescent="0.25">
      <c r="A551" s="8" t="str">
        <f>SUBSTITUTE('PASTE RAW DATA HERE'!B535, "*", "@")</f>
        <v/>
      </c>
    </row>
    <row r="552" spans="1:1" x14ac:dyDescent="0.25">
      <c r="A552" s="8" t="str">
        <f>SUBSTITUTE('PASTE RAW DATA HERE'!B536, "*", "@")</f>
        <v/>
      </c>
    </row>
    <row r="553" spans="1:1" x14ac:dyDescent="0.25">
      <c r="A553" s="8" t="str">
        <f>SUBSTITUTE('PASTE RAW DATA HERE'!B537, "*", "@")</f>
        <v/>
      </c>
    </row>
    <row r="554" spans="1:1" x14ac:dyDescent="0.25">
      <c r="A554" s="8" t="str">
        <f>SUBSTITUTE('PASTE RAW DATA HERE'!B538, "*", "@")</f>
        <v/>
      </c>
    </row>
    <row r="555" spans="1:1" x14ac:dyDescent="0.25">
      <c r="A555" s="8" t="str">
        <f>SUBSTITUTE('PASTE RAW DATA HERE'!B539, "*", "@")</f>
        <v/>
      </c>
    </row>
    <row r="556" spans="1:1" x14ac:dyDescent="0.25">
      <c r="A556" s="8" t="str">
        <f>SUBSTITUTE('PASTE RAW DATA HERE'!B540, "*", "@")</f>
        <v/>
      </c>
    </row>
    <row r="557" spans="1:1" x14ac:dyDescent="0.25">
      <c r="A557" s="8" t="str">
        <f>SUBSTITUTE('PASTE RAW DATA HERE'!B541, "*", "@")</f>
        <v/>
      </c>
    </row>
    <row r="558" spans="1:1" x14ac:dyDescent="0.25">
      <c r="A558" s="8" t="str">
        <f>SUBSTITUTE('PASTE RAW DATA HERE'!B542, "*", "@")</f>
        <v/>
      </c>
    </row>
    <row r="559" spans="1:1" x14ac:dyDescent="0.25">
      <c r="A559" s="8" t="str">
        <f>SUBSTITUTE('PASTE RAW DATA HERE'!B543, "*", "@")</f>
        <v/>
      </c>
    </row>
    <row r="560" spans="1:1" x14ac:dyDescent="0.25">
      <c r="A560" s="8" t="str">
        <f>SUBSTITUTE('PASTE RAW DATA HERE'!B544, "*", "@")</f>
        <v/>
      </c>
    </row>
    <row r="561" spans="1:1" x14ac:dyDescent="0.25">
      <c r="A561" s="8" t="str">
        <f>SUBSTITUTE('PASTE RAW DATA HERE'!B545, "*", "@")</f>
        <v/>
      </c>
    </row>
    <row r="562" spans="1:1" x14ac:dyDescent="0.25">
      <c r="A562" s="8" t="str">
        <f>SUBSTITUTE('PASTE RAW DATA HERE'!B546, "*", "@")</f>
        <v/>
      </c>
    </row>
    <row r="563" spans="1:1" x14ac:dyDescent="0.25">
      <c r="A563" s="8" t="str">
        <f>SUBSTITUTE('PASTE RAW DATA HERE'!B547, "*", "@")</f>
        <v/>
      </c>
    </row>
    <row r="564" spans="1:1" x14ac:dyDescent="0.25">
      <c r="A564" s="8" t="str">
        <f>SUBSTITUTE('PASTE RAW DATA HERE'!B548, "*", "@")</f>
        <v/>
      </c>
    </row>
    <row r="565" spans="1:1" x14ac:dyDescent="0.25">
      <c r="A565" s="8" t="str">
        <f>SUBSTITUTE('PASTE RAW DATA HERE'!B549, "*", "@")</f>
        <v/>
      </c>
    </row>
    <row r="566" spans="1:1" x14ac:dyDescent="0.25">
      <c r="A566" s="8" t="str">
        <f>SUBSTITUTE('PASTE RAW DATA HERE'!B550, "*", "@")</f>
        <v/>
      </c>
    </row>
    <row r="567" spans="1:1" x14ac:dyDescent="0.25">
      <c r="A567" s="8" t="str">
        <f>SUBSTITUTE('PASTE RAW DATA HERE'!B551, "*", "@")</f>
        <v/>
      </c>
    </row>
    <row r="568" spans="1:1" x14ac:dyDescent="0.25">
      <c r="A568" s="8" t="str">
        <f>SUBSTITUTE('PASTE RAW DATA HERE'!B552, "*", "@")</f>
        <v/>
      </c>
    </row>
    <row r="569" spans="1:1" x14ac:dyDescent="0.25">
      <c r="A569" s="8" t="str">
        <f>SUBSTITUTE('PASTE RAW DATA HERE'!B553, "*", "@")</f>
        <v/>
      </c>
    </row>
    <row r="570" spans="1:1" x14ac:dyDescent="0.25">
      <c r="A570" s="8" t="str">
        <f>SUBSTITUTE('PASTE RAW DATA HERE'!B554, "*", "@")</f>
        <v/>
      </c>
    </row>
    <row r="571" spans="1:1" x14ac:dyDescent="0.25">
      <c r="A571" s="8" t="str">
        <f>SUBSTITUTE('PASTE RAW DATA HERE'!B555, "*", "@")</f>
        <v/>
      </c>
    </row>
    <row r="572" spans="1:1" x14ac:dyDescent="0.25">
      <c r="A572" s="8" t="str">
        <f>SUBSTITUTE('PASTE RAW DATA HERE'!B556, "*", "@")</f>
        <v/>
      </c>
    </row>
    <row r="573" spans="1:1" x14ac:dyDescent="0.25">
      <c r="A573" s="8" t="str">
        <f>SUBSTITUTE('PASTE RAW DATA HERE'!B557, "*", "@")</f>
        <v/>
      </c>
    </row>
    <row r="574" spans="1:1" x14ac:dyDescent="0.25">
      <c r="A574" s="8" t="str">
        <f>SUBSTITUTE('PASTE RAW DATA HERE'!B558, "*", "@")</f>
        <v/>
      </c>
    </row>
    <row r="575" spans="1:1" x14ac:dyDescent="0.25">
      <c r="A575" s="8" t="str">
        <f>SUBSTITUTE('PASTE RAW DATA HERE'!B559, "*", "@")</f>
        <v/>
      </c>
    </row>
    <row r="576" spans="1:1" x14ac:dyDescent="0.25">
      <c r="A576" s="8" t="str">
        <f>SUBSTITUTE('PASTE RAW DATA HERE'!B560, "*", "@")</f>
        <v/>
      </c>
    </row>
    <row r="577" spans="1:1" x14ac:dyDescent="0.25">
      <c r="A577" s="8" t="str">
        <f>SUBSTITUTE('PASTE RAW DATA HERE'!B561, "*", "@")</f>
        <v/>
      </c>
    </row>
    <row r="578" spans="1:1" x14ac:dyDescent="0.25">
      <c r="A578" s="8" t="str">
        <f>SUBSTITUTE('PASTE RAW DATA HERE'!B562, "*", "@")</f>
        <v/>
      </c>
    </row>
    <row r="579" spans="1:1" x14ac:dyDescent="0.25">
      <c r="A579" s="8" t="str">
        <f>SUBSTITUTE('PASTE RAW DATA HERE'!B563, "*", "@")</f>
        <v/>
      </c>
    </row>
    <row r="580" spans="1:1" x14ac:dyDescent="0.25">
      <c r="A580" s="8" t="str">
        <f>SUBSTITUTE('PASTE RAW DATA HERE'!B564, "*", "@")</f>
        <v/>
      </c>
    </row>
    <row r="581" spans="1:1" x14ac:dyDescent="0.25">
      <c r="A581" s="8" t="str">
        <f>SUBSTITUTE('PASTE RAW DATA HERE'!B565, "*", "@")</f>
        <v/>
      </c>
    </row>
    <row r="582" spans="1:1" x14ac:dyDescent="0.25">
      <c r="A582" s="8" t="str">
        <f>SUBSTITUTE('PASTE RAW DATA HERE'!B566, "*", "@")</f>
        <v/>
      </c>
    </row>
    <row r="583" spans="1:1" x14ac:dyDescent="0.25">
      <c r="A583" s="8" t="str">
        <f>SUBSTITUTE('PASTE RAW DATA HERE'!B567, "*", "@")</f>
        <v/>
      </c>
    </row>
    <row r="584" spans="1:1" x14ac:dyDescent="0.25">
      <c r="A584" s="8" t="str">
        <f>SUBSTITUTE('PASTE RAW DATA HERE'!B568, "*", "@")</f>
        <v/>
      </c>
    </row>
    <row r="585" spans="1:1" x14ac:dyDescent="0.25">
      <c r="A585" s="8" t="str">
        <f>SUBSTITUTE('PASTE RAW DATA HERE'!B569, "*", "@")</f>
        <v/>
      </c>
    </row>
    <row r="586" spans="1:1" x14ac:dyDescent="0.25">
      <c r="A586" s="8" t="str">
        <f>SUBSTITUTE('PASTE RAW DATA HERE'!B570, "*", "@")</f>
        <v/>
      </c>
    </row>
    <row r="587" spans="1:1" x14ac:dyDescent="0.25">
      <c r="A587" s="8" t="str">
        <f>SUBSTITUTE('PASTE RAW DATA HERE'!B571, "*", "@")</f>
        <v/>
      </c>
    </row>
    <row r="588" spans="1:1" x14ac:dyDescent="0.25">
      <c r="A588" s="8" t="str">
        <f>SUBSTITUTE('PASTE RAW DATA HERE'!B572, "*", "@")</f>
        <v/>
      </c>
    </row>
    <row r="589" spans="1:1" x14ac:dyDescent="0.25">
      <c r="A589" s="8" t="str">
        <f>SUBSTITUTE('PASTE RAW DATA HERE'!B573, "*", "@")</f>
        <v/>
      </c>
    </row>
    <row r="590" spans="1:1" x14ac:dyDescent="0.25">
      <c r="A590" s="8" t="str">
        <f>SUBSTITUTE('PASTE RAW DATA HERE'!B574, "*", "@")</f>
        <v/>
      </c>
    </row>
    <row r="591" spans="1:1" x14ac:dyDescent="0.25">
      <c r="A591" s="8" t="str">
        <f>SUBSTITUTE('PASTE RAW DATA HERE'!B575, "*", "@")</f>
        <v/>
      </c>
    </row>
    <row r="592" spans="1:1" x14ac:dyDescent="0.25">
      <c r="A592" s="8" t="str">
        <f>SUBSTITUTE('PASTE RAW DATA HERE'!B576, "*", "@")</f>
        <v/>
      </c>
    </row>
    <row r="593" spans="1:1" x14ac:dyDescent="0.25">
      <c r="A593" s="8" t="str">
        <f>SUBSTITUTE('PASTE RAW DATA HERE'!B577, "*", "@")</f>
        <v/>
      </c>
    </row>
    <row r="594" spans="1:1" x14ac:dyDescent="0.25">
      <c r="A594" s="8" t="str">
        <f>SUBSTITUTE('PASTE RAW DATA HERE'!B578, "*", "@")</f>
        <v/>
      </c>
    </row>
    <row r="595" spans="1:1" x14ac:dyDescent="0.25">
      <c r="A595" s="8" t="str">
        <f>SUBSTITUTE('PASTE RAW DATA HERE'!B579, "*", "@")</f>
        <v/>
      </c>
    </row>
    <row r="596" spans="1:1" x14ac:dyDescent="0.25">
      <c r="A596" s="8" t="str">
        <f>SUBSTITUTE('PASTE RAW DATA HERE'!B580, "*", "@")</f>
        <v/>
      </c>
    </row>
    <row r="597" spans="1:1" x14ac:dyDescent="0.25">
      <c r="A597" s="8" t="str">
        <f>SUBSTITUTE('PASTE RAW DATA HERE'!B581, "*", "@")</f>
        <v/>
      </c>
    </row>
    <row r="598" spans="1:1" x14ac:dyDescent="0.25">
      <c r="A598" s="8" t="str">
        <f>SUBSTITUTE('PASTE RAW DATA HERE'!B582, "*", "@")</f>
        <v/>
      </c>
    </row>
    <row r="599" spans="1:1" x14ac:dyDescent="0.25">
      <c r="A599" s="8" t="str">
        <f>SUBSTITUTE('PASTE RAW DATA HERE'!B583, "*", "@")</f>
        <v/>
      </c>
    </row>
    <row r="600" spans="1:1" x14ac:dyDescent="0.25">
      <c r="A600" s="8" t="str">
        <f>SUBSTITUTE('PASTE RAW DATA HERE'!B584, "*", "@")</f>
        <v/>
      </c>
    </row>
    <row r="601" spans="1:1" x14ac:dyDescent="0.25">
      <c r="A601" s="8" t="str">
        <f>SUBSTITUTE('PASTE RAW DATA HERE'!B585, "*", "@")</f>
        <v/>
      </c>
    </row>
    <row r="602" spans="1:1" x14ac:dyDescent="0.25">
      <c r="A602" s="8" t="str">
        <f>SUBSTITUTE('PASTE RAW DATA HERE'!B586, "*", "@")</f>
        <v/>
      </c>
    </row>
    <row r="603" spans="1:1" x14ac:dyDescent="0.25">
      <c r="A603" s="8" t="str">
        <f>SUBSTITUTE('PASTE RAW DATA HERE'!B587, "*", "@")</f>
        <v/>
      </c>
    </row>
    <row r="604" spans="1:1" x14ac:dyDescent="0.25">
      <c r="A604" s="8" t="str">
        <f>SUBSTITUTE('PASTE RAW DATA HERE'!B588, "*", "@")</f>
        <v/>
      </c>
    </row>
    <row r="605" spans="1:1" x14ac:dyDescent="0.25">
      <c r="A605" s="8" t="str">
        <f>SUBSTITUTE('PASTE RAW DATA HERE'!B589, "*", "@")</f>
        <v/>
      </c>
    </row>
    <row r="606" spans="1:1" x14ac:dyDescent="0.25">
      <c r="A606" s="8" t="str">
        <f>SUBSTITUTE('PASTE RAW DATA HERE'!B590, "*", "@")</f>
        <v/>
      </c>
    </row>
    <row r="607" spans="1:1" x14ac:dyDescent="0.25">
      <c r="A607" s="8" t="str">
        <f>SUBSTITUTE('PASTE RAW DATA HERE'!B591, "*", "@")</f>
        <v/>
      </c>
    </row>
    <row r="608" spans="1:1" x14ac:dyDescent="0.25">
      <c r="A608" s="8" t="str">
        <f>SUBSTITUTE('PASTE RAW DATA HERE'!B592, "*", "@")</f>
        <v/>
      </c>
    </row>
    <row r="609" spans="1:1" x14ac:dyDescent="0.25">
      <c r="A609" s="8" t="str">
        <f>SUBSTITUTE('PASTE RAW DATA HERE'!B593, "*", "@")</f>
        <v/>
      </c>
    </row>
    <row r="610" spans="1:1" x14ac:dyDescent="0.25">
      <c r="A610" s="8" t="str">
        <f>SUBSTITUTE('PASTE RAW DATA HERE'!B594, "*", "@")</f>
        <v/>
      </c>
    </row>
    <row r="611" spans="1:1" x14ac:dyDescent="0.25">
      <c r="A611" s="8" t="str">
        <f>SUBSTITUTE('PASTE RAW DATA HERE'!B595, "*", "@")</f>
        <v/>
      </c>
    </row>
    <row r="612" spans="1:1" x14ac:dyDescent="0.25">
      <c r="A612" s="8" t="str">
        <f>SUBSTITUTE('PASTE RAW DATA HERE'!B596, "*", "@")</f>
        <v/>
      </c>
    </row>
    <row r="613" spans="1:1" x14ac:dyDescent="0.25">
      <c r="A613" s="8" t="str">
        <f>SUBSTITUTE('PASTE RAW DATA HERE'!B597, "*", "@")</f>
        <v/>
      </c>
    </row>
    <row r="614" spans="1:1" x14ac:dyDescent="0.25">
      <c r="A614" s="8" t="str">
        <f>SUBSTITUTE('PASTE RAW DATA HERE'!B598, "*", "@")</f>
        <v/>
      </c>
    </row>
    <row r="615" spans="1:1" x14ac:dyDescent="0.25">
      <c r="A615" s="8" t="str">
        <f>SUBSTITUTE('PASTE RAW DATA HERE'!B599, "*", "@")</f>
        <v/>
      </c>
    </row>
    <row r="616" spans="1:1" x14ac:dyDescent="0.25">
      <c r="A616" s="8" t="str">
        <f>SUBSTITUTE('PASTE RAW DATA HERE'!B600, "*", "@")</f>
        <v/>
      </c>
    </row>
    <row r="617" spans="1:1" x14ac:dyDescent="0.25">
      <c r="A617" s="8" t="str">
        <f>SUBSTITUTE('PASTE RAW DATA HERE'!B601, "*", "@")</f>
        <v/>
      </c>
    </row>
    <row r="618" spans="1:1" x14ac:dyDescent="0.25">
      <c r="A618" s="8" t="str">
        <f>SUBSTITUTE('PASTE RAW DATA HERE'!B602, "*", "@")</f>
        <v/>
      </c>
    </row>
    <row r="619" spans="1:1" x14ac:dyDescent="0.25">
      <c r="A619" s="8" t="str">
        <f>SUBSTITUTE('PASTE RAW DATA HERE'!B603, "*", "@")</f>
        <v/>
      </c>
    </row>
    <row r="620" spans="1:1" x14ac:dyDescent="0.25">
      <c r="A620" s="8" t="str">
        <f>SUBSTITUTE('PASTE RAW DATA HERE'!B604, "*", "@")</f>
        <v/>
      </c>
    </row>
    <row r="621" spans="1:1" x14ac:dyDescent="0.25">
      <c r="A621" s="8" t="str">
        <f>SUBSTITUTE('PASTE RAW DATA HERE'!B605, "*", "@")</f>
        <v/>
      </c>
    </row>
    <row r="622" spans="1:1" x14ac:dyDescent="0.25">
      <c r="A622" s="8" t="str">
        <f>SUBSTITUTE('PASTE RAW DATA HERE'!B606, "*", "@")</f>
        <v/>
      </c>
    </row>
    <row r="623" spans="1:1" x14ac:dyDescent="0.25">
      <c r="A623" s="8" t="str">
        <f>SUBSTITUTE('PASTE RAW DATA HERE'!B607, "*", "@")</f>
        <v/>
      </c>
    </row>
    <row r="624" spans="1:1" x14ac:dyDescent="0.25">
      <c r="A624" s="8" t="str">
        <f>SUBSTITUTE('PASTE RAW DATA HERE'!B608, "*", "@")</f>
        <v/>
      </c>
    </row>
    <row r="625" spans="1:1" x14ac:dyDescent="0.25">
      <c r="A625" s="8" t="str">
        <f>SUBSTITUTE('PASTE RAW DATA HERE'!B609, "*", "@")</f>
        <v/>
      </c>
    </row>
    <row r="626" spans="1:1" x14ac:dyDescent="0.25">
      <c r="A626" s="8" t="str">
        <f>SUBSTITUTE('PASTE RAW DATA HERE'!B610, "*", "@")</f>
        <v/>
      </c>
    </row>
    <row r="627" spans="1:1" x14ac:dyDescent="0.25">
      <c r="A627" s="8" t="str">
        <f>SUBSTITUTE('PASTE RAW DATA HERE'!B611, "*", "@")</f>
        <v/>
      </c>
    </row>
    <row r="628" spans="1:1" x14ac:dyDescent="0.25">
      <c r="A628" s="8" t="str">
        <f>SUBSTITUTE('PASTE RAW DATA HERE'!B612, "*", "@")</f>
        <v/>
      </c>
    </row>
    <row r="629" spans="1:1" x14ac:dyDescent="0.25">
      <c r="A629" s="8" t="str">
        <f>SUBSTITUTE('PASTE RAW DATA HERE'!B613, "*", "@")</f>
        <v/>
      </c>
    </row>
    <row r="630" spans="1:1" x14ac:dyDescent="0.25">
      <c r="A630" s="8" t="str">
        <f>SUBSTITUTE('PASTE RAW DATA HERE'!B614, "*", "@")</f>
        <v/>
      </c>
    </row>
    <row r="631" spans="1:1" x14ac:dyDescent="0.25">
      <c r="A631" s="8" t="str">
        <f>SUBSTITUTE('PASTE RAW DATA HERE'!B615, "*", "@")</f>
        <v/>
      </c>
    </row>
    <row r="632" spans="1:1" x14ac:dyDescent="0.25">
      <c r="A632" s="8" t="str">
        <f>SUBSTITUTE('PASTE RAW DATA HERE'!B616, "*", "@")</f>
        <v/>
      </c>
    </row>
    <row r="633" spans="1:1" x14ac:dyDescent="0.25">
      <c r="A633" s="8" t="str">
        <f>SUBSTITUTE('PASTE RAW DATA HERE'!B617, "*", "@")</f>
        <v/>
      </c>
    </row>
    <row r="634" spans="1:1" x14ac:dyDescent="0.25">
      <c r="A634" s="8" t="str">
        <f>SUBSTITUTE('PASTE RAW DATA HERE'!B618, "*", "@")</f>
        <v/>
      </c>
    </row>
    <row r="635" spans="1:1" x14ac:dyDescent="0.25">
      <c r="A635" s="8" t="str">
        <f>SUBSTITUTE('PASTE RAW DATA HERE'!B619, "*", "@")</f>
        <v/>
      </c>
    </row>
    <row r="636" spans="1:1" x14ac:dyDescent="0.25">
      <c r="A636" s="8" t="str">
        <f>SUBSTITUTE('PASTE RAW DATA HERE'!B620, "*", "@")</f>
        <v/>
      </c>
    </row>
    <row r="637" spans="1:1" x14ac:dyDescent="0.25">
      <c r="A637" s="8" t="str">
        <f>SUBSTITUTE('PASTE RAW DATA HERE'!B621, "*", "@")</f>
        <v/>
      </c>
    </row>
    <row r="638" spans="1:1" x14ac:dyDescent="0.25">
      <c r="A638" s="8" t="str">
        <f>SUBSTITUTE('PASTE RAW DATA HERE'!B622, "*", "@")</f>
        <v/>
      </c>
    </row>
    <row r="639" spans="1:1" x14ac:dyDescent="0.25">
      <c r="A639" s="8" t="str">
        <f>SUBSTITUTE('PASTE RAW DATA HERE'!B623, "*", "@")</f>
        <v/>
      </c>
    </row>
    <row r="640" spans="1:1" x14ac:dyDescent="0.25">
      <c r="A640" s="8" t="str">
        <f>SUBSTITUTE('PASTE RAW DATA HERE'!B624, "*", "@")</f>
        <v/>
      </c>
    </row>
    <row r="641" spans="1:1" x14ac:dyDescent="0.25">
      <c r="A641" s="8" t="str">
        <f>SUBSTITUTE('PASTE RAW DATA HERE'!B625, "*", "@")</f>
        <v/>
      </c>
    </row>
    <row r="642" spans="1:1" x14ac:dyDescent="0.25">
      <c r="A642" s="8" t="str">
        <f>SUBSTITUTE('PASTE RAW DATA HERE'!B626, "*", "@")</f>
        <v/>
      </c>
    </row>
    <row r="643" spans="1:1" x14ac:dyDescent="0.25">
      <c r="A643" s="8" t="str">
        <f>SUBSTITUTE('PASTE RAW DATA HERE'!B627, "*", "@")</f>
        <v/>
      </c>
    </row>
    <row r="644" spans="1:1" x14ac:dyDescent="0.25">
      <c r="A644" s="8" t="str">
        <f>SUBSTITUTE('PASTE RAW DATA HERE'!B628, "*", "@")</f>
        <v/>
      </c>
    </row>
    <row r="645" spans="1:1" x14ac:dyDescent="0.25">
      <c r="A645" s="8" t="str">
        <f>SUBSTITUTE('PASTE RAW DATA HERE'!B629, "*", "@")</f>
        <v/>
      </c>
    </row>
    <row r="646" spans="1:1" x14ac:dyDescent="0.25">
      <c r="A646" s="8" t="str">
        <f>SUBSTITUTE('PASTE RAW DATA HERE'!B630, "*", "@")</f>
        <v/>
      </c>
    </row>
    <row r="647" spans="1:1" x14ac:dyDescent="0.25">
      <c r="A647" s="8" t="str">
        <f>SUBSTITUTE('PASTE RAW DATA HERE'!B631, "*", "@")</f>
        <v/>
      </c>
    </row>
    <row r="648" spans="1:1" x14ac:dyDescent="0.25">
      <c r="A648" s="8" t="str">
        <f>SUBSTITUTE('PASTE RAW DATA HERE'!B632, "*", "@")</f>
        <v/>
      </c>
    </row>
    <row r="649" spans="1:1" x14ac:dyDescent="0.25">
      <c r="A649" s="8" t="str">
        <f>SUBSTITUTE('PASTE RAW DATA HERE'!B633, "*", "@")</f>
        <v/>
      </c>
    </row>
    <row r="650" spans="1:1" x14ac:dyDescent="0.25">
      <c r="A650" s="8" t="str">
        <f>SUBSTITUTE('PASTE RAW DATA HERE'!B634, "*", "@")</f>
        <v/>
      </c>
    </row>
    <row r="651" spans="1:1" x14ac:dyDescent="0.25">
      <c r="A651" s="8" t="str">
        <f>SUBSTITUTE('PASTE RAW DATA HERE'!B635, "*", "@")</f>
        <v/>
      </c>
    </row>
    <row r="652" spans="1:1" x14ac:dyDescent="0.25">
      <c r="A652" s="8" t="str">
        <f>SUBSTITUTE('PASTE RAW DATA HERE'!B636, "*", "@")</f>
        <v/>
      </c>
    </row>
    <row r="653" spans="1:1" x14ac:dyDescent="0.25">
      <c r="A653" s="8" t="str">
        <f>SUBSTITUTE('PASTE RAW DATA HERE'!B637, "*", "@")</f>
        <v/>
      </c>
    </row>
    <row r="654" spans="1:1" x14ac:dyDescent="0.25">
      <c r="A654" s="8" t="str">
        <f>SUBSTITUTE('PASTE RAW DATA HERE'!B638, "*", "@")</f>
        <v/>
      </c>
    </row>
    <row r="655" spans="1:1" x14ac:dyDescent="0.25">
      <c r="A655" s="8" t="str">
        <f>SUBSTITUTE('PASTE RAW DATA HERE'!B639, "*", "@")</f>
        <v/>
      </c>
    </row>
    <row r="656" spans="1:1" x14ac:dyDescent="0.25">
      <c r="A656" s="8" t="str">
        <f>SUBSTITUTE('PASTE RAW DATA HERE'!B640, "*", "@")</f>
        <v/>
      </c>
    </row>
    <row r="657" spans="1:1" x14ac:dyDescent="0.25">
      <c r="A657" s="8" t="str">
        <f>SUBSTITUTE('PASTE RAW DATA HERE'!B641, "*", "@")</f>
        <v/>
      </c>
    </row>
    <row r="658" spans="1:1" x14ac:dyDescent="0.25">
      <c r="A658" s="8" t="str">
        <f>SUBSTITUTE('PASTE RAW DATA HERE'!B642, "*", "@")</f>
        <v/>
      </c>
    </row>
    <row r="659" spans="1:1" x14ac:dyDescent="0.25">
      <c r="A659" s="8" t="str">
        <f>SUBSTITUTE('PASTE RAW DATA HERE'!B643, "*", "@")</f>
        <v/>
      </c>
    </row>
    <row r="660" spans="1:1" x14ac:dyDescent="0.25">
      <c r="A660" s="8" t="str">
        <f>SUBSTITUTE('PASTE RAW DATA HERE'!B644, "*", "@")</f>
        <v/>
      </c>
    </row>
    <row r="661" spans="1:1" x14ac:dyDescent="0.25">
      <c r="A661" s="8" t="str">
        <f>SUBSTITUTE('PASTE RAW DATA HERE'!B645, "*", "@")</f>
        <v/>
      </c>
    </row>
    <row r="662" spans="1:1" x14ac:dyDescent="0.25">
      <c r="A662" s="8" t="str">
        <f>SUBSTITUTE('PASTE RAW DATA HERE'!B646, "*", "@")</f>
        <v/>
      </c>
    </row>
    <row r="663" spans="1:1" x14ac:dyDescent="0.25">
      <c r="A663" s="8" t="str">
        <f>SUBSTITUTE('PASTE RAW DATA HERE'!B647, "*", "@")</f>
        <v/>
      </c>
    </row>
    <row r="664" spans="1:1" x14ac:dyDescent="0.25">
      <c r="A664" s="8" t="str">
        <f>SUBSTITUTE('PASTE RAW DATA HERE'!B648, "*", "@")</f>
        <v/>
      </c>
    </row>
    <row r="665" spans="1:1" x14ac:dyDescent="0.25">
      <c r="A665" s="8" t="str">
        <f>SUBSTITUTE('PASTE RAW DATA HERE'!B649, "*", "@")</f>
        <v/>
      </c>
    </row>
    <row r="666" spans="1:1" x14ac:dyDescent="0.25">
      <c r="A666" s="8" t="str">
        <f>SUBSTITUTE('PASTE RAW DATA HERE'!B650, "*", "@")</f>
        <v/>
      </c>
    </row>
    <row r="667" spans="1:1" x14ac:dyDescent="0.25">
      <c r="A667" s="8" t="str">
        <f>SUBSTITUTE('PASTE RAW DATA HERE'!B651, "*", "@")</f>
        <v/>
      </c>
    </row>
    <row r="668" spans="1:1" x14ac:dyDescent="0.25">
      <c r="A668" s="8" t="str">
        <f>SUBSTITUTE('PASTE RAW DATA HERE'!B652, "*", "@")</f>
        <v/>
      </c>
    </row>
    <row r="669" spans="1:1" x14ac:dyDescent="0.25">
      <c r="A669" s="8" t="str">
        <f>SUBSTITUTE('PASTE RAW DATA HERE'!B653, "*", "@")</f>
        <v/>
      </c>
    </row>
    <row r="670" spans="1:1" x14ac:dyDescent="0.25">
      <c r="A670" s="8" t="str">
        <f>SUBSTITUTE('PASTE RAW DATA HERE'!B654, "*", "@")</f>
        <v/>
      </c>
    </row>
    <row r="671" spans="1:1" x14ac:dyDescent="0.25">
      <c r="A671" s="8" t="str">
        <f>SUBSTITUTE('PASTE RAW DATA HERE'!B655, "*", "@")</f>
        <v/>
      </c>
    </row>
    <row r="672" spans="1:1" x14ac:dyDescent="0.25">
      <c r="A672" s="8" t="str">
        <f>SUBSTITUTE('PASTE RAW DATA HERE'!B656, "*", "@")</f>
        <v/>
      </c>
    </row>
    <row r="673" spans="1:1" x14ac:dyDescent="0.25">
      <c r="A673" s="8" t="str">
        <f>SUBSTITUTE('PASTE RAW DATA HERE'!B657, "*", "@")</f>
        <v/>
      </c>
    </row>
    <row r="674" spans="1:1" x14ac:dyDescent="0.25">
      <c r="A674" s="8" t="str">
        <f>SUBSTITUTE('PASTE RAW DATA HERE'!B658, "*", "@")</f>
        <v/>
      </c>
    </row>
    <row r="675" spans="1:1" x14ac:dyDescent="0.25">
      <c r="A675" s="8" t="str">
        <f>SUBSTITUTE('PASTE RAW DATA HERE'!B659, "*", "@")</f>
        <v/>
      </c>
    </row>
    <row r="676" spans="1:1" x14ac:dyDescent="0.25">
      <c r="A676" s="8" t="str">
        <f>SUBSTITUTE('PASTE RAW DATA HERE'!B660, "*", "@")</f>
        <v/>
      </c>
    </row>
    <row r="677" spans="1:1" x14ac:dyDescent="0.25">
      <c r="A677" s="8" t="str">
        <f>SUBSTITUTE('PASTE RAW DATA HERE'!B661, "*", "@")</f>
        <v/>
      </c>
    </row>
    <row r="678" spans="1:1" x14ac:dyDescent="0.25">
      <c r="A678" s="8" t="str">
        <f>SUBSTITUTE('PASTE RAW DATA HERE'!B662, "*", "@")</f>
        <v/>
      </c>
    </row>
    <row r="679" spans="1:1" x14ac:dyDescent="0.25">
      <c r="A679" s="8" t="str">
        <f>SUBSTITUTE('PASTE RAW DATA HERE'!B663, "*", "@")</f>
        <v/>
      </c>
    </row>
    <row r="680" spans="1:1" x14ac:dyDescent="0.25">
      <c r="A680" s="8" t="str">
        <f>SUBSTITUTE('PASTE RAW DATA HERE'!B664, "*", "@")</f>
        <v/>
      </c>
    </row>
    <row r="681" spans="1:1" x14ac:dyDescent="0.25">
      <c r="A681" s="8" t="str">
        <f>SUBSTITUTE('PASTE RAW DATA HERE'!B665, "*", "@")</f>
        <v/>
      </c>
    </row>
    <row r="682" spans="1:1" x14ac:dyDescent="0.25">
      <c r="A682" s="8" t="str">
        <f>SUBSTITUTE('PASTE RAW DATA HERE'!B666, "*", "@")</f>
        <v/>
      </c>
    </row>
    <row r="683" spans="1:1" x14ac:dyDescent="0.25">
      <c r="A683" s="8" t="str">
        <f>SUBSTITUTE('PASTE RAW DATA HERE'!B667, "*", "@")</f>
        <v/>
      </c>
    </row>
    <row r="684" spans="1:1" x14ac:dyDescent="0.25">
      <c r="A684" s="8" t="str">
        <f>SUBSTITUTE('PASTE RAW DATA HERE'!B668, "*", "@")</f>
        <v/>
      </c>
    </row>
    <row r="685" spans="1:1" x14ac:dyDescent="0.25">
      <c r="A685" s="8" t="str">
        <f>SUBSTITUTE('PASTE RAW DATA HERE'!B669, "*", "@")</f>
        <v/>
      </c>
    </row>
    <row r="686" spans="1:1" x14ac:dyDescent="0.25">
      <c r="A686" s="8" t="str">
        <f>SUBSTITUTE('PASTE RAW DATA HERE'!B670, "*", "@")</f>
        <v/>
      </c>
    </row>
    <row r="687" spans="1:1" x14ac:dyDescent="0.25">
      <c r="A687" s="8" t="str">
        <f>SUBSTITUTE('PASTE RAW DATA HERE'!B671, "*", "@")</f>
        <v/>
      </c>
    </row>
    <row r="688" spans="1:1" x14ac:dyDescent="0.25">
      <c r="A688" s="8" t="str">
        <f>SUBSTITUTE('PASTE RAW DATA HERE'!B672, "*", "@")</f>
        <v/>
      </c>
    </row>
    <row r="689" spans="1:1" x14ac:dyDescent="0.25">
      <c r="A689" s="8" t="str">
        <f>SUBSTITUTE('PASTE RAW DATA HERE'!B673, "*", "@")</f>
        <v/>
      </c>
    </row>
    <row r="690" spans="1:1" x14ac:dyDescent="0.25">
      <c r="A690" s="8" t="str">
        <f>SUBSTITUTE('PASTE RAW DATA HERE'!B674, "*", "@")</f>
        <v/>
      </c>
    </row>
    <row r="691" spans="1:1" x14ac:dyDescent="0.25">
      <c r="A691" s="8" t="str">
        <f>SUBSTITUTE('PASTE RAW DATA HERE'!B675, "*", "@")</f>
        <v/>
      </c>
    </row>
    <row r="692" spans="1:1" x14ac:dyDescent="0.25">
      <c r="A692" s="8" t="str">
        <f>SUBSTITUTE('PASTE RAW DATA HERE'!B676, "*", "@")</f>
        <v/>
      </c>
    </row>
    <row r="693" spans="1:1" x14ac:dyDescent="0.25">
      <c r="A693" s="8" t="str">
        <f>SUBSTITUTE('PASTE RAW DATA HERE'!B677, "*", "@")</f>
        <v/>
      </c>
    </row>
    <row r="694" spans="1:1" x14ac:dyDescent="0.25">
      <c r="A694" s="8" t="str">
        <f>SUBSTITUTE('PASTE RAW DATA HERE'!B678, "*", "@")</f>
        <v/>
      </c>
    </row>
    <row r="695" spans="1:1" x14ac:dyDescent="0.25">
      <c r="A695" s="8" t="str">
        <f>SUBSTITUTE('PASTE RAW DATA HERE'!B679, "*", "@")</f>
        <v/>
      </c>
    </row>
    <row r="696" spans="1:1" x14ac:dyDescent="0.25">
      <c r="A696" s="8" t="str">
        <f>SUBSTITUTE('PASTE RAW DATA HERE'!B680, "*", "@")</f>
        <v/>
      </c>
    </row>
    <row r="697" spans="1:1" x14ac:dyDescent="0.25">
      <c r="A697" s="8" t="str">
        <f>SUBSTITUTE('PASTE RAW DATA HERE'!B681, "*", "@")</f>
        <v/>
      </c>
    </row>
    <row r="698" spans="1:1" x14ac:dyDescent="0.25">
      <c r="A698" s="8" t="str">
        <f>SUBSTITUTE('PASTE RAW DATA HERE'!B682, "*", "@")</f>
        <v/>
      </c>
    </row>
    <row r="699" spans="1:1" x14ac:dyDescent="0.25">
      <c r="A699" s="8" t="str">
        <f>SUBSTITUTE('PASTE RAW DATA HERE'!B683, "*", "@")</f>
        <v/>
      </c>
    </row>
    <row r="700" spans="1:1" x14ac:dyDescent="0.25">
      <c r="A700" s="8" t="str">
        <f>SUBSTITUTE('PASTE RAW DATA HERE'!B684, "*", "@")</f>
        <v/>
      </c>
    </row>
    <row r="701" spans="1:1" x14ac:dyDescent="0.25">
      <c r="A701" s="8" t="str">
        <f>SUBSTITUTE('PASTE RAW DATA HERE'!B685, "*", "@")</f>
        <v/>
      </c>
    </row>
    <row r="702" spans="1:1" x14ac:dyDescent="0.25">
      <c r="A702" s="8" t="str">
        <f>SUBSTITUTE('PASTE RAW DATA HERE'!B686, "*", "@")</f>
        <v/>
      </c>
    </row>
    <row r="703" spans="1:1" x14ac:dyDescent="0.25">
      <c r="A703" s="8" t="str">
        <f>SUBSTITUTE('PASTE RAW DATA HERE'!B687, "*", "@")</f>
        <v/>
      </c>
    </row>
    <row r="704" spans="1:1" x14ac:dyDescent="0.25">
      <c r="A704" s="8" t="str">
        <f>SUBSTITUTE('PASTE RAW DATA HERE'!B688, "*", "@")</f>
        <v/>
      </c>
    </row>
    <row r="705" spans="1:1" x14ac:dyDescent="0.25">
      <c r="A705" s="8" t="str">
        <f>SUBSTITUTE('PASTE RAW DATA HERE'!B689, "*", "@")</f>
        <v/>
      </c>
    </row>
    <row r="706" spans="1:1" x14ac:dyDescent="0.25">
      <c r="A706" s="8" t="str">
        <f>SUBSTITUTE('PASTE RAW DATA HERE'!B690, "*", "@")</f>
        <v/>
      </c>
    </row>
    <row r="707" spans="1:1" x14ac:dyDescent="0.25">
      <c r="A707" s="8" t="str">
        <f>SUBSTITUTE('PASTE RAW DATA HERE'!B691, "*", "@")</f>
        <v/>
      </c>
    </row>
    <row r="708" spans="1:1" x14ac:dyDescent="0.25">
      <c r="A708" s="8" t="str">
        <f>SUBSTITUTE('PASTE RAW DATA HERE'!B692, "*", "@")</f>
        <v/>
      </c>
    </row>
    <row r="709" spans="1:1" x14ac:dyDescent="0.25">
      <c r="A709" s="8" t="str">
        <f>SUBSTITUTE('PASTE RAW DATA HERE'!B693, "*", "@")</f>
        <v/>
      </c>
    </row>
    <row r="710" spans="1:1" x14ac:dyDescent="0.25">
      <c r="A710" s="8" t="str">
        <f>SUBSTITUTE('PASTE RAW DATA HERE'!B694, "*", "@")</f>
        <v/>
      </c>
    </row>
    <row r="711" spans="1:1" x14ac:dyDescent="0.25">
      <c r="A711" s="8" t="str">
        <f>SUBSTITUTE('PASTE RAW DATA HERE'!B695, "*", "@")</f>
        <v/>
      </c>
    </row>
    <row r="712" spans="1:1" x14ac:dyDescent="0.25">
      <c r="A712" s="8" t="str">
        <f>SUBSTITUTE('PASTE RAW DATA HERE'!B696, "*", "@")</f>
        <v/>
      </c>
    </row>
    <row r="713" spans="1:1" x14ac:dyDescent="0.25">
      <c r="A713" s="8" t="str">
        <f>SUBSTITUTE('PASTE RAW DATA HERE'!B697, "*", "@")</f>
        <v/>
      </c>
    </row>
    <row r="714" spans="1:1" x14ac:dyDescent="0.25">
      <c r="A714" s="8" t="str">
        <f>SUBSTITUTE('PASTE RAW DATA HERE'!B698, "*", "@")</f>
        <v/>
      </c>
    </row>
    <row r="715" spans="1:1" x14ac:dyDescent="0.25">
      <c r="A715" s="8" t="str">
        <f>SUBSTITUTE('PASTE RAW DATA HERE'!B699, "*", "@")</f>
        <v/>
      </c>
    </row>
    <row r="716" spans="1:1" x14ac:dyDescent="0.25">
      <c r="A716" s="8" t="str">
        <f>SUBSTITUTE('PASTE RAW DATA HERE'!B700, "*", "@")</f>
        <v/>
      </c>
    </row>
    <row r="717" spans="1:1" x14ac:dyDescent="0.25">
      <c r="A717" s="8" t="str">
        <f>SUBSTITUTE('PASTE RAW DATA HERE'!B701, "*", "@")</f>
        <v/>
      </c>
    </row>
    <row r="718" spans="1:1" x14ac:dyDescent="0.25">
      <c r="A718" s="8" t="str">
        <f>SUBSTITUTE('PASTE RAW DATA HERE'!B702, "*", "@")</f>
        <v/>
      </c>
    </row>
    <row r="719" spans="1:1" x14ac:dyDescent="0.25">
      <c r="A719" s="8" t="str">
        <f>SUBSTITUTE('PASTE RAW DATA HERE'!B703, "*", "@")</f>
        <v/>
      </c>
    </row>
    <row r="720" spans="1:1" x14ac:dyDescent="0.25">
      <c r="A720" s="8" t="str">
        <f>SUBSTITUTE('PASTE RAW DATA HERE'!B704, "*", "@")</f>
        <v/>
      </c>
    </row>
    <row r="721" spans="1:1" x14ac:dyDescent="0.25">
      <c r="A721" s="8" t="str">
        <f>SUBSTITUTE('PASTE RAW DATA HERE'!B705, "*", "@")</f>
        <v/>
      </c>
    </row>
    <row r="722" spans="1:1" x14ac:dyDescent="0.25">
      <c r="A722" s="8" t="str">
        <f>SUBSTITUTE('PASTE RAW DATA HERE'!B706, "*", "@")</f>
        <v/>
      </c>
    </row>
    <row r="723" spans="1:1" x14ac:dyDescent="0.25">
      <c r="A723" s="8" t="str">
        <f>SUBSTITUTE('PASTE RAW DATA HERE'!B707, "*", "@")</f>
        <v/>
      </c>
    </row>
    <row r="724" spans="1:1" x14ac:dyDescent="0.25">
      <c r="A724" s="8" t="str">
        <f>SUBSTITUTE('PASTE RAW DATA HERE'!B708, "*", "@")</f>
        <v/>
      </c>
    </row>
    <row r="725" spans="1:1" x14ac:dyDescent="0.25">
      <c r="A725" s="8" t="str">
        <f>SUBSTITUTE('PASTE RAW DATA HERE'!B709, "*", "@")</f>
        <v/>
      </c>
    </row>
    <row r="726" spans="1:1" x14ac:dyDescent="0.25">
      <c r="A726" s="8" t="str">
        <f>SUBSTITUTE('PASTE RAW DATA HERE'!B710, "*", "@")</f>
        <v/>
      </c>
    </row>
    <row r="727" spans="1:1" x14ac:dyDescent="0.25">
      <c r="A727" s="8" t="str">
        <f>SUBSTITUTE('PASTE RAW DATA HERE'!B711, "*", "@")</f>
        <v/>
      </c>
    </row>
    <row r="728" spans="1:1" x14ac:dyDescent="0.25">
      <c r="A728" s="8" t="str">
        <f>SUBSTITUTE('PASTE RAW DATA HERE'!B712, "*", "@")</f>
        <v/>
      </c>
    </row>
    <row r="729" spans="1:1" x14ac:dyDescent="0.25">
      <c r="A729" s="8" t="str">
        <f>SUBSTITUTE('PASTE RAW DATA HERE'!B713, "*", "@")</f>
        <v/>
      </c>
    </row>
    <row r="730" spans="1:1" x14ac:dyDescent="0.25">
      <c r="A730" s="8" t="str">
        <f>SUBSTITUTE('PASTE RAW DATA HERE'!B714, "*", "@")</f>
        <v/>
      </c>
    </row>
    <row r="731" spans="1:1" x14ac:dyDescent="0.25">
      <c r="A731" s="8" t="str">
        <f>SUBSTITUTE('PASTE RAW DATA HERE'!B715, "*", "@")</f>
        <v/>
      </c>
    </row>
    <row r="732" spans="1:1" x14ac:dyDescent="0.25">
      <c r="A732" s="8" t="str">
        <f>SUBSTITUTE('PASTE RAW DATA HERE'!B716, "*", "@")</f>
        <v/>
      </c>
    </row>
    <row r="733" spans="1:1" x14ac:dyDescent="0.25">
      <c r="A733" s="8" t="str">
        <f>SUBSTITUTE('PASTE RAW DATA HERE'!B717, "*", "@")</f>
        <v/>
      </c>
    </row>
    <row r="734" spans="1:1" x14ac:dyDescent="0.25">
      <c r="A734" s="8" t="str">
        <f>SUBSTITUTE('PASTE RAW DATA HERE'!B718, "*", "@")</f>
        <v/>
      </c>
    </row>
    <row r="735" spans="1:1" x14ac:dyDescent="0.25">
      <c r="A735" s="8" t="str">
        <f>SUBSTITUTE('PASTE RAW DATA HERE'!B719, "*", "@")</f>
        <v/>
      </c>
    </row>
    <row r="736" spans="1:1" x14ac:dyDescent="0.25">
      <c r="A736" s="8" t="str">
        <f>SUBSTITUTE('PASTE RAW DATA HERE'!B720, "*", "@")</f>
        <v/>
      </c>
    </row>
    <row r="737" spans="1:1" x14ac:dyDescent="0.25">
      <c r="A737" s="8" t="str">
        <f>SUBSTITUTE('PASTE RAW DATA HERE'!B721, "*", "@")</f>
        <v/>
      </c>
    </row>
    <row r="738" spans="1:1" x14ac:dyDescent="0.25">
      <c r="A738" s="8" t="str">
        <f>SUBSTITUTE('PASTE RAW DATA HERE'!B722, "*", "@")</f>
        <v/>
      </c>
    </row>
    <row r="739" spans="1:1" x14ac:dyDescent="0.25">
      <c r="A739" s="8" t="str">
        <f>SUBSTITUTE('PASTE RAW DATA HERE'!B723, "*", "@")</f>
        <v/>
      </c>
    </row>
    <row r="740" spans="1:1" x14ac:dyDescent="0.25">
      <c r="A740" s="8" t="str">
        <f>SUBSTITUTE('PASTE RAW DATA HERE'!B724, "*", "@")</f>
        <v/>
      </c>
    </row>
    <row r="741" spans="1:1" x14ac:dyDescent="0.25">
      <c r="A741" s="8" t="str">
        <f>SUBSTITUTE('PASTE RAW DATA HERE'!B725, "*", "@")</f>
        <v/>
      </c>
    </row>
    <row r="742" spans="1:1" x14ac:dyDescent="0.25">
      <c r="A742" s="8" t="str">
        <f>SUBSTITUTE('PASTE RAW DATA HERE'!B726, "*", "@")</f>
        <v/>
      </c>
    </row>
    <row r="743" spans="1:1" x14ac:dyDescent="0.25">
      <c r="A743" s="8" t="str">
        <f>SUBSTITUTE('PASTE RAW DATA HERE'!B727, "*", "@")</f>
        <v/>
      </c>
    </row>
    <row r="744" spans="1:1" x14ac:dyDescent="0.25">
      <c r="A744" s="8" t="str">
        <f>SUBSTITUTE('PASTE RAW DATA HERE'!B728, "*", "@")</f>
        <v/>
      </c>
    </row>
    <row r="745" spans="1:1" x14ac:dyDescent="0.25">
      <c r="A745" s="8" t="str">
        <f>SUBSTITUTE('PASTE RAW DATA HERE'!B729, "*", "@")</f>
        <v/>
      </c>
    </row>
    <row r="746" spans="1:1" x14ac:dyDescent="0.25">
      <c r="A746" s="8" t="str">
        <f>SUBSTITUTE('PASTE RAW DATA HERE'!B730, "*", "@")</f>
        <v/>
      </c>
    </row>
    <row r="747" spans="1:1" x14ac:dyDescent="0.25">
      <c r="A747" s="8" t="str">
        <f>SUBSTITUTE('PASTE RAW DATA HERE'!B731, "*", "@")</f>
        <v/>
      </c>
    </row>
    <row r="748" spans="1:1" x14ac:dyDescent="0.25">
      <c r="A748" s="8" t="str">
        <f>SUBSTITUTE('PASTE RAW DATA HERE'!B732, "*", "@")</f>
        <v/>
      </c>
    </row>
    <row r="749" spans="1:1" x14ac:dyDescent="0.25">
      <c r="A749" s="8" t="str">
        <f>SUBSTITUTE('PASTE RAW DATA HERE'!B733, "*", "@")</f>
        <v/>
      </c>
    </row>
    <row r="750" spans="1:1" x14ac:dyDescent="0.25">
      <c r="A750" s="8" t="str">
        <f>SUBSTITUTE('PASTE RAW DATA HERE'!B734, "*", "@")</f>
        <v/>
      </c>
    </row>
    <row r="751" spans="1:1" x14ac:dyDescent="0.25">
      <c r="A751" s="8" t="str">
        <f>SUBSTITUTE('PASTE RAW DATA HERE'!B735, "*", "@")</f>
        <v/>
      </c>
    </row>
    <row r="752" spans="1:1" x14ac:dyDescent="0.25">
      <c r="A752" s="8" t="str">
        <f>SUBSTITUTE('PASTE RAW DATA HERE'!B736, "*", "@")</f>
        <v/>
      </c>
    </row>
    <row r="753" spans="1:1" x14ac:dyDescent="0.25">
      <c r="A753" s="8" t="str">
        <f>SUBSTITUTE('PASTE RAW DATA HERE'!B737, "*", "@")</f>
        <v/>
      </c>
    </row>
    <row r="754" spans="1:1" x14ac:dyDescent="0.25">
      <c r="A754" s="8" t="str">
        <f>SUBSTITUTE('PASTE RAW DATA HERE'!B738, "*", "@")</f>
        <v/>
      </c>
    </row>
    <row r="755" spans="1:1" x14ac:dyDescent="0.25">
      <c r="A755" s="8" t="str">
        <f>SUBSTITUTE('PASTE RAW DATA HERE'!B739, "*", "@")</f>
        <v/>
      </c>
    </row>
    <row r="756" spans="1:1" x14ac:dyDescent="0.25">
      <c r="A756" s="8" t="str">
        <f>SUBSTITUTE('PASTE RAW DATA HERE'!B740, "*", "@")</f>
        <v/>
      </c>
    </row>
    <row r="757" spans="1:1" x14ac:dyDescent="0.25">
      <c r="A757" s="8" t="str">
        <f>SUBSTITUTE('PASTE RAW DATA HERE'!B741, "*", "@")</f>
        <v/>
      </c>
    </row>
    <row r="758" spans="1:1" x14ac:dyDescent="0.25">
      <c r="A758" s="8" t="str">
        <f>SUBSTITUTE('PASTE RAW DATA HERE'!B742, "*", "@")</f>
        <v/>
      </c>
    </row>
    <row r="759" spans="1:1" x14ac:dyDescent="0.25">
      <c r="A759" s="8" t="str">
        <f>SUBSTITUTE('PASTE RAW DATA HERE'!B743, "*", "@")</f>
        <v/>
      </c>
    </row>
    <row r="760" spans="1:1" x14ac:dyDescent="0.25">
      <c r="A760" s="8" t="str">
        <f>SUBSTITUTE('PASTE RAW DATA HERE'!B744, "*", "@")</f>
        <v/>
      </c>
    </row>
    <row r="761" spans="1:1" x14ac:dyDescent="0.25">
      <c r="A761" s="8" t="str">
        <f>SUBSTITUTE('PASTE RAW DATA HERE'!B745, "*", "@")</f>
        <v/>
      </c>
    </row>
    <row r="762" spans="1:1" x14ac:dyDescent="0.25">
      <c r="A762" s="8" t="str">
        <f>SUBSTITUTE('PASTE RAW DATA HERE'!B746, "*", "@")</f>
        <v/>
      </c>
    </row>
    <row r="763" spans="1:1" x14ac:dyDescent="0.25">
      <c r="A763" s="8" t="str">
        <f>SUBSTITUTE('PASTE RAW DATA HERE'!B747, "*", "@")</f>
        <v/>
      </c>
    </row>
    <row r="764" spans="1:1" x14ac:dyDescent="0.25">
      <c r="A764" s="8" t="str">
        <f>SUBSTITUTE('PASTE RAW DATA HERE'!B748, "*", "@")</f>
        <v/>
      </c>
    </row>
    <row r="765" spans="1:1" x14ac:dyDescent="0.25">
      <c r="A765" s="8" t="str">
        <f>SUBSTITUTE('PASTE RAW DATA HERE'!B749, "*", "@")</f>
        <v/>
      </c>
    </row>
    <row r="766" spans="1:1" x14ac:dyDescent="0.25">
      <c r="A766" s="8" t="str">
        <f>SUBSTITUTE('PASTE RAW DATA HERE'!B750, "*", "@")</f>
        <v/>
      </c>
    </row>
    <row r="767" spans="1:1" x14ac:dyDescent="0.25">
      <c r="A767" s="8" t="str">
        <f>SUBSTITUTE('PASTE RAW DATA HERE'!B751, "*", "@")</f>
        <v/>
      </c>
    </row>
    <row r="768" spans="1:1" x14ac:dyDescent="0.25">
      <c r="A768" s="8" t="str">
        <f>SUBSTITUTE('PASTE RAW DATA HERE'!B752, "*", "@")</f>
        <v/>
      </c>
    </row>
    <row r="769" spans="1:1" x14ac:dyDescent="0.25">
      <c r="A769" s="8" t="str">
        <f>SUBSTITUTE('PASTE RAW DATA HERE'!B753, "*", "@")</f>
        <v/>
      </c>
    </row>
    <row r="770" spans="1:1" x14ac:dyDescent="0.25">
      <c r="A770" s="8" t="str">
        <f>SUBSTITUTE('PASTE RAW DATA HERE'!B754, "*", "@")</f>
        <v/>
      </c>
    </row>
    <row r="771" spans="1:1" x14ac:dyDescent="0.25">
      <c r="A771" s="8" t="str">
        <f>SUBSTITUTE('PASTE RAW DATA HERE'!B755, "*", "@")</f>
        <v/>
      </c>
    </row>
    <row r="772" spans="1:1" x14ac:dyDescent="0.25">
      <c r="A772" s="8" t="str">
        <f>SUBSTITUTE('PASTE RAW DATA HERE'!B756, "*", "@")</f>
        <v/>
      </c>
    </row>
    <row r="773" spans="1:1" x14ac:dyDescent="0.25">
      <c r="A773" s="8" t="str">
        <f>SUBSTITUTE('PASTE RAW DATA HERE'!B757, "*", "@")</f>
        <v/>
      </c>
    </row>
    <row r="774" spans="1:1" x14ac:dyDescent="0.25">
      <c r="A774" s="8" t="str">
        <f>SUBSTITUTE('PASTE RAW DATA HERE'!B758, "*", "@")</f>
        <v/>
      </c>
    </row>
    <row r="775" spans="1:1" x14ac:dyDescent="0.25">
      <c r="A775" s="8" t="str">
        <f>SUBSTITUTE('PASTE RAW DATA HERE'!B759, "*", "@")</f>
        <v/>
      </c>
    </row>
    <row r="776" spans="1:1" x14ac:dyDescent="0.25">
      <c r="A776" s="8" t="str">
        <f>SUBSTITUTE('PASTE RAW DATA HERE'!B760, "*", "@")</f>
        <v/>
      </c>
    </row>
    <row r="777" spans="1:1" x14ac:dyDescent="0.25">
      <c r="A777" s="8" t="str">
        <f>SUBSTITUTE('PASTE RAW DATA HERE'!B761, "*", "@")</f>
        <v/>
      </c>
    </row>
    <row r="778" spans="1:1" x14ac:dyDescent="0.25">
      <c r="A778" s="8" t="str">
        <f>SUBSTITUTE('PASTE RAW DATA HERE'!B762, "*", "@")</f>
        <v/>
      </c>
    </row>
    <row r="779" spans="1:1" x14ac:dyDescent="0.25">
      <c r="A779" s="8" t="str">
        <f>SUBSTITUTE('PASTE RAW DATA HERE'!B763, "*", "@")</f>
        <v/>
      </c>
    </row>
    <row r="780" spans="1:1" x14ac:dyDescent="0.25">
      <c r="A780" s="8" t="str">
        <f>SUBSTITUTE('PASTE RAW DATA HERE'!B764, "*", "@")</f>
        <v/>
      </c>
    </row>
    <row r="781" spans="1:1" x14ac:dyDescent="0.25">
      <c r="A781" s="8" t="str">
        <f>SUBSTITUTE('PASTE RAW DATA HERE'!B765, "*", "@")</f>
        <v/>
      </c>
    </row>
    <row r="782" spans="1:1" x14ac:dyDescent="0.25">
      <c r="A782" s="8" t="str">
        <f>SUBSTITUTE('PASTE RAW DATA HERE'!B766, "*", "@")</f>
        <v/>
      </c>
    </row>
    <row r="783" spans="1:1" x14ac:dyDescent="0.25">
      <c r="A783" s="8" t="str">
        <f>SUBSTITUTE('PASTE RAW DATA HERE'!B767, "*", "@")</f>
        <v/>
      </c>
    </row>
    <row r="784" spans="1:1" x14ac:dyDescent="0.25">
      <c r="A784" s="8" t="str">
        <f>SUBSTITUTE('PASTE RAW DATA HERE'!B768, "*", "@")</f>
        <v/>
      </c>
    </row>
    <row r="785" spans="1:1" x14ac:dyDescent="0.25">
      <c r="A785" s="8" t="str">
        <f>SUBSTITUTE('PASTE RAW DATA HERE'!B769, "*", "@")</f>
        <v/>
      </c>
    </row>
    <row r="786" spans="1:1" x14ac:dyDescent="0.25">
      <c r="A786" s="8" t="str">
        <f>SUBSTITUTE('PASTE RAW DATA HERE'!B770, "*", "@")</f>
        <v/>
      </c>
    </row>
    <row r="787" spans="1:1" x14ac:dyDescent="0.25">
      <c r="A787" s="8" t="str">
        <f>SUBSTITUTE('PASTE RAW DATA HERE'!B771, "*", "@")</f>
        <v/>
      </c>
    </row>
    <row r="788" spans="1:1" x14ac:dyDescent="0.25">
      <c r="A788" s="8" t="str">
        <f>SUBSTITUTE('PASTE RAW DATA HERE'!B772, "*", "@")</f>
        <v/>
      </c>
    </row>
    <row r="789" spans="1:1" x14ac:dyDescent="0.25">
      <c r="A789" s="8" t="str">
        <f>SUBSTITUTE('PASTE RAW DATA HERE'!B773, "*", "@")</f>
        <v/>
      </c>
    </row>
    <row r="790" spans="1:1" x14ac:dyDescent="0.25">
      <c r="A790" s="8" t="str">
        <f>SUBSTITUTE('PASTE RAW DATA HERE'!B774, "*", "@")</f>
        <v/>
      </c>
    </row>
    <row r="791" spans="1:1" x14ac:dyDescent="0.25">
      <c r="A791" s="8" t="str">
        <f>SUBSTITUTE('PASTE RAW DATA HERE'!B775, "*", "@")</f>
        <v/>
      </c>
    </row>
    <row r="792" spans="1:1" x14ac:dyDescent="0.25">
      <c r="A792" s="8" t="str">
        <f>SUBSTITUTE('PASTE RAW DATA HERE'!B776, "*", "@")</f>
        <v/>
      </c>
    </row>
    <row r="793" spans="1:1" x14ac:dyDescent="0.25">
      <c r="A793" s="8" t="str">
        <f>SUBSTITUTE('PASTE RAW DATA HERE'!B777, "*", "@")</f>
        <v/>
      </c>
    </row>
    <row r="794" spans="1:1" x14ac:dyDescent="0.25">
      <c r="A794" s="8" t="str">
        <f>SUBSTITUTE('PASTE RAW DATA HERE'!B778, "*", "@")</f>
        <v/>
      </c>
    </row>
    <row r="795" spans="1:1" x14ac:dyDescent="0.25">
      <c r="A795" s="8" t="str">
        <f>SUBSTITUTE('PASTE RAW DATA HERE'!B779, "*", "@")</f>
        <v/>
      </c>
    </row>
    <row r="796" spans="1:1" x14ac:dyDescent="0.25">
      <c r="A796" s="8" t="str">
        <f>SUBSTITUTE('PASTE RAW DATA HERE'!B780, "*", "@")</f>
        <v/>
      </c>
    </row>
    <row r="797" spans="1:1" x14ac:dyDescent="0.25">
      <c r="A797" s="8" t="str">
        <f>SUBSTITUTE('PASTE RAW DATA HERE'!B781, "*", "@")</f>
        <v/>
      </c>
    </row>
    <row r="798" spans="1:1" x14ac:dyDescent="0.25">
      <c r="A798" s="8" t="str">
        <f>SUBSTITUTE('PASTE RAW DATA HERE'!B782, "*", "@")</f>
        <v/>
      </c>
    </row>
    <row r="799" spans="1:1" x14ac:dyDescent="0.25">
      <c r="A799" s="8" t="str">
        <f>SUBSTITUTE('PASTE RAW DATA HERE'!B783, "*", "@")</f>
        <v/>
      </c>
    </row>
    <row r="800" spans="1:1" x14ac:dyDescent="0.25">
      <c r="A800" s="8" t="str">
        <f>SUBSTITUTE('PASTE RAW DATA HERE'!B784, "*", "@")</f>
        <v/>
      </c>
    </row>
    <row r="801" spans="1:1" x14ac:dyDescent="0.25">
      <c r="A801" s="8" t="str">
        <f>SUBSTITUTE('PASTE RAW DATA HERE'!B785, "*", "@")</f>
        <v/>
      </c>
    </row>
    <row r="802" spans="1:1" x14ac:dyDescent="0.25">
      <c r="A802" s="8" t="str">
        <f>SUBSTITUTE('PASTE RAW DATA HERE'!B786, "*", "@")</f>
        <v/>
      </c>
    </row>
    <row r="803" spans="1:1" x14ac:dyDescent="0.25">
      <c r="A803" s="8" t="str">
        <f>SUBSTITUTE('PASTE RAW DATA HERE'!B787, "*", "@")</f>
        <v/>
      </c>
    </row>
    <row r="804" spans="1:1" x14ac:dyDescent="0.25">
      <c r="A804" s="8" t="str">
        <f>SUBSTITUTE('PASTE RAW DATA HERE'!B788, "*", "@")</f>
        <v/>
      </c>
    </row>
    <row r="805" spans="1:1" x14ac:dyDescent="0.25">
      <c r="A805" s="8" t="str">
        <f>SUBSTITUTE('PASTE RAW DATA HERE'!B789, "*", "@")</f>
        <v/>
      </c>
    </row>
    <row r="806" spans="1:1" x14ac:dyDescent="0.25">
      <c r="A806" s="8" t="str">
        <f>SUBSTITUTE('PASTE RAW DATA HERE'!B790, "*", "@")</f>
        <v/>
      </c>
    </row>
    <row r="807" spans="1:1" x14ac:dyDescent="0.25">
      <c r="A807" s="8" t="str">
        <f>SUBSTITUTE('PASTE RAW DATA HERE'!B791, "*", "@")</f>
        <v/>
      </c>
    </row>
    <row r="808" spans="1:1" x14ac:dyDescent="0.25">
      <c r="A808" s="8" t="str">
        <f>SUBSTITUTE('PASTE RAW DATA HERE'!B792, "*", "@")</f>
        <v/>
      </c>
    </row>
    <row r="809" spans="1:1" x14ac:dyDescent="0.25">
      <c r="A809" s="8" t="str">
        <f>SUBSTITUTE('PASTE RAW DATA HERE'!B793, "*", "@")</f>
        <v/>
      </c>
    </row>
    <row r="810" spans="1:1" x14ac:dyDescent="0.25">
      <c r="A810" s="8" t="str">
        <f>SUBSTITUTE('PASTE RAW DATA HERE'!B794, "*", "@")</f>
        <v/>
      </c>
    </row>
    <row r="811" spans="1:1" x14ac:dyDescent="0.25">
      <c r="A811" s="8" t="str">
        <f>SUBSTITUTE('PASTE RAW DATA HERE'!B795, "*", "@")</f>
        <v/>
      </c>
    </row>
    <row r="812" spans="1:1" x14ac:dyDescent="0.25">
      <c r="A812" s="8" t="str">
        <f>SUBSTITUTE('PASTE RAW DATA HERE'!B796, "*", "@")</f>
        <v/>
      </c>
    </row>
    <row r="813" spans="1:1" x14ac:dyDescent="0.25">
      <c r="A813" s="8" t="str">
        <f>SUBSTITUTE('PASTE RAW DATA HERE'!B797, "*", "@")</f>
        <v/>
      </c>
    </row>
    <row r="814" spans="1:1" x14ac:dyDescent="0.25">
      <c r="A814" s="8" t="str">
        <f>SUBSTITUTE('PASTE RAW DATA HERE'!B798, "*", "@")</f>
        <v/>
      </c>
    </row>
    <row r="815" spans="1:1" x14ac:dyDescent="0.25">
      <c r="A815" s="8" t="str">
        <f>SUBSTITUTE('PASTE RAW DATA HERE'!B799, "*", "@")</f>
        <v/>
      </c>
    </row>
    <row r="816" spans="1:1" x14ac:dyDescent="0.25">
      <c r="A816" s="8" t="str">
        <f>SUBSTITUTE('PASTE RAW DATA HERE'!B800, "*", "@")</f>
        <v/>
      </c>
    </row>
    <row r="817" spans="1:1" x14ac:dyDescent="0.25">
      <c r="A817" s="8" t="str">
        <f>SUBSTITUTE('PASTE RAW DATA HERE'!B801, "*", "@")</f>
        <v/>
      </c>
    </row>
    <row r="818" spans="1:1" x14ac:dyDescent="0.25">
      <c r="A818" s="8" t="str">
        <f>SUBSTITUTE('PASTE RAW DATA HERE'!B802, "*", "@")</f>
        <v/>
      </c>
    </row>
    <row r="819" spans="1:1" x14ac:dyDescent="0.25">
      <c r="A819" s="8" t="str">
        <f>SUBSTITUTE('PASTE RAW DATA HERE'!B803, "*", "@")</f>
        <v/>
      </c>
    </row>
    <row r="820" spans="1:1" x14ac:dyDescent="0.25">
      <c r="A820" s="8" t="str">
        <f>SUBSTITUTE('PASTE RAW DATA HERE'!B804, "*", "@")</f>
        <v/>
      </c>
    </row>
    <row r="821" spans="1:1" x14ac:dyDescent="0.25">
      <c r="A821" s="8" t="str">
        <f>SUBSTITUTE('PASTE RAW DATA HERE'!B805, "*", "@")</f>
        <v/>
      </c>
    </row>
    <row r="822" spans="1:1" x14ac:dyDescent="0.25">
      <c r="A822" s="8" t="str">
        <f>SUBSTITUTE('PASTE RAW DATA HERE'!B806, "*", "@")</f>
        <v/>
      </c>
    </row>
    <row r="823" spans="1:1" x14ac:dyDescent="0.25">
      <c r="A823" s="8" t="str">
        <f>SUBSTITUTE('PASTE RAW DATA HERE'!B807, "*", "@")</f>
        <v/>
      </c>
    </row>
    <row r="824" spans="1:1" x14ac:dyDescent="0.25">
      <c r="A824" s="8" t="str">
        <f>SUBSTITUTE('PASTE RAW DATA HERE'!B808, "*", "@")</f>
        <v/>
      </c>
    </row>
    <row r="825" spans="1:1" x14ac:dyDescent="0.25">
      <c r="A825" s="8" t="str">
        <f>SUBSTITUTE('PASTE RAW DATA HERE'!B809, "*", "@")</f>
        <v/>
      </c>
    </row>
    <row r="826" spans="1:1" x14ac:dyDescent="0.25">
      <c r="A826" s="8" t="str">
        <f>SUBSTITUTE('PASTE RAW DATA HERE'!B810, "*", "@")</f>
        <v/>
      </c>
    </row>
    <row r="827" spans="1:1" x14ac:dyDescent="0.25">
      <c r="A827" s="8" t="str">
        <f>SUBSTITUTE('PASTE RAW DATA HERE'!B811, "*", "@")</f>
        <v/>
      </c>
    </row>
    <row r="828" spans="1:1" x14ac:dyDescent="0.25">
      <c r="A828" s="8" t="str">
        <f>SUBSTITUTE('PASTE RAW DATA HERE'!B812, "*", "@")</f>
        <v/>
      </c>
    </row>
    <row r="829" spans="1:1" x14ac:dyDescent="0.25">
      <c r="A829" s="8" t="str">
        <f>SUBSTITUTE('PASTE RAW DATA HERE'!B813, "*", "@")</f>
        <v/>
      </c>
    </row>
    <row r="830" spans="1:1" x14ac:dyDescent="0.25">
      <c r="A830" s="8" t="str">
        <f>SUBSTITUTE('PASTE RAW DATA HERE'!B814, "*", "@")</f>
        <v/>
      </c>
    </row>
    <row r="831" spans="1:1" x14ac:dyDescent="0.25">
      <c r="A831" s="8" t="str">
        <f>SUBSTITUTE('PASTE RAW DATA HERE'!B815, "*", "@")</f>
        <v/>
      </c>
    </row>
    <row r="832" spans="1:1" x14ac:dyDescent="0.25">
      <c r="A832" s="8" t="str">
        <f>SUBSTITUTE('PASTE RAW DATA HERE'!B816, "*", "@")</f>
        <v/>
      </c>
    </row>
    <row r="833" spans="1:1" x14ac:dyDescent="0.25">
      <c r="A833" s="8" t="str">
        <f>SUBSTITUTE('PASTE RAW DATA HERE'!B817, "*", "@")</f>
        <v/>
      </c>
    </row>
    <row r="834" spans="1:1" x14ac:dyDescent="0.25">
      <c r="A834" s="8" t="str">
        <f>SUBSTITUTE('PASTE RAW DATA HERE'!B818, "*", "@")</f>
        <v/>
      </c>
    </row>
    <row r="835" spans="1:1" x14ac:dyDescent="0.25">
      <c r="A835" s="8" t="str">
        <f>SUBSTITUTE('PASTE RAW DATA HERE'!B819, "*", "@")</f>
        <v/>
      </c>
    </row>
    <row r="836" spans="1:1" x14ac:dyDescent="0.25">
      <c r="A836" s="8" t="str">
        <f>SUBSTITUTE('PASTE RAW DATA HERE'!B820, "*", "@")</f>
        <v/>
      </c>
    </row>
    <row r="837" spans="1:1" x14ac:dyDescent="0.25">
      <c r="A837" s="8" t="str">
        <f>SUBSTITUTE('PASTE RAW DATA HERE'!B821, "*", "@")</f>
        <v/>
      </c>
    </row>
    <row r="838" spans="1:1" x14ac:dyDescent="0.25">
      <c r="A838" s="8" t="str">
        <f>SUBSTITUTE('PASTE RAW DATA HERE'!B822, "*", "@")</f>
        <v/>
      </c>
    </row>
    <row r="839" spans="1:1" x14ac:dyDescent="0.25">
      <c r="A839" s="8" t="str">
        <f>SUBSTITUTE('PASTE RAW DATA HERE'!B823, "*", "@")</f>
        <v/>
      </c>
    </row>
    <row r="840" spans="1:1" x14ac:dyDescent="0.25">
      <c r="A840" s="8" t="str">
        <f>SUBSTITUTE('PASTE RAW DATA HERE'!B824, "*", "@")</f>
        <v/>
      </c>
    </row>
    <row r="841" spans="1:1" x14ac:dyDescent="0.25">
      <c r="A841" s="8" t="str">
        <f>SUBSTITUTE('PASTE RAW DATA HERE'!B825, "*", "@")</f>
        <v/>
      </c>
    </row>
    <row r="842" spans="1:1" x14ac:dyDescent="0.25">
      <c r="A842" s="8" t="str">
        <f>SUBSTITUTE('PASTE RAW DATA HERE'!B826, "*", "@")</f>
        <v/>
      </c>
    </row>
    <row r="843" spans="1:1" x14ac:dyDescent="0.25">
      <c r="A843" s="8" t="str">
        <f>SUBSTITUTE('PASTE RAW DATA HERE'!B827, "*", "@")</f>
        <v/>
      </c>
    </row>
    <row r="844" spans="1:1" x14ac:dyDescent="0.25">
      <c r="A844" s="8" t="str">
        <f>SUBSTITUTE('PASTE RAW DATA HERE'!B828, "*", "@")</f>
        <v/>
      </c>
    </row>
    <row r="845" spans="1:1" x14ac:dyDescent="0.25">
      <c r="A845" s="8" t="str">
        <f>SUBSTITUTE('PASTE RAW DATA HERE'!B829, "*", "@")</f>
        <v/>
      </c>
    </row>
    <row r="846" spans="1:1" x14ac:dyDescent="0.25">
      <c r="A846" s="8" t="str">
        <f>SUBSTITUTE('PASTE RAW DATA HERE'!B830, "*", "@")</f>
        <v/>
      </c>
    </row>
    <row r="847" spans="1:1" x14ac:dyDescent="0.25">
      <c r="A847" s="8" t="str">
        <f>SUBSTITUTE('PASTE RAW DATA HERE'!B831, "*", "@")</f>
        <v/>
      </c>
    </row>
    <row r="848" spans="1:1" x14ac:dyDescent="0.25">
      <c r="A848" s="8" t="str">
        <f>SUBSTITUTE('PASTE RAW DATA HERE'!B832, "*", "@")</f>
        <v/>
      </c>
    </row>
    <row r="849" spans="1:1" x14ac:dyDescent="0.25">
      <c r="A849" s="8" t="str">
        <f>SUBSTITUTE('PASTE RAW DATA HERE'!B833, "*", "@")</f>
        <v/>
      </c>
    </row>
    <row r="850" spans="1:1" x14ac:dyDescent="0.25">
      <c r="A850" s="8" t="str">
        <f>SUBSTITUTE('PASTE RAW DATA HERE'!B834, "*", "@")</f>
        <v/>
      </c>
    </row>
    <row r="851" spans="1:1" x14ac:dyDescent="0.25">
      <c r="A851" s="8" t="str">
        <f>SUBSTITUTE('PASTE RAW DATA HERE'!B835, "*", "@")</f>
        <v/>
      </c>
    </row>
    <row r="852" spans="1:1" x14ac:dyDescent="0.25">
      <c r="A852" s="8" t="str">
        <f>SUBSTITUTE('PASTE RAW DATA HERE'!B836, "*", "@")</f>
        <v/>
      </c>
    </row>
    <row r="853" spans="1:1" x14ac:dyDescent="0.25">
      <c r="A853" s="8" t="str">
        <f>SUBSTITUTE('PASTE RAW DATA HERE'!B837, "*", "@")</f>
        <v/>
      </c>
    </row>
    <row r="854" spans="1:1" x14ac:dyDescent="0.25">
      <c r="A854" s="8" t="str">
        <f>SUBSTITUTE('PASTE RAW DATA HERE'!B838, "*", "@")</f>
        <v/>
      </c>
    </row>
    <row r="855" spans="1:1" x14ac:dyDescent="0.25">
      <c r="A855" s="8" t="str">
        <f>SUBSTITUTE('PASTE RAW DATA HERE'!B839, "*", "@")</f>
        <v/>
      </c>
    </row>
    <row r="856" spans="1:1" x14ac:dyDescent="0.25">
      <c r="A856" s="8" t="str">
        <f>SUBSTITUTE('PASTE RAW DATA HERE'!B840, "*", "@")</f>
        <v/>
      </c>
    </row>
    <row r="857" spans="1:1" x14ac:dyDescent="0.25">
      <c r="A857" s="8" t="str">
        <f>SUBSTITUTE('PASTE RAW DATA HERE'!B841, "*", "@")</f>
        <v/>
      </c>
    </row>
    <row r="858" spans="1:1" x14ac:dyDescent="0.25">
      <c r="A858" s="8" t="str">
        <f>SUBSTITUTE('PASTE RAW DATA HERE'!B842, "*", "@")</f>
        <v/>
      </c>
    </row>
    <row r="859" spans="1:1" x14ac:dyDescent="0.25">
      <c r="A859" s="8" t="str">
        <f>SUBSTITUTE('PASTE RAW DATA HERE'!B843, "*", "@")</f>
        <v/>
      </c>
    </row>
    <row r="860" spans="1:1" x14ac:dyDescent="0.25">
      <c r="A860" s="8" t="str">
        <f>SUBSTITUTE('PASTE RAW DATA HERE'!B844, "*", "@")</f>
        <v/>
      </c>
    </row>
    <row r="861" spans="1:1" x14ac:dyDescent="0.25">
      <c r="A861" s="8" t="str">
        <f>SUBSTITUTE('PASTE RAW DATA HERE'!B845, "*", "@")</f>
        <v/>
      </c>
    </row>
    <row r="862" spans="1:1" x14ac:dyDescent="0.25">
      <c r="A862" s="8" t="str">
        <f>SUBSTITUTE('PASTE RAW DATA HERE'!B846, "*", "@")</f>
        <v/>
      </c>
    </row>
    <row r="863" spans="1:1" x14ac:dyDescent="0.25">
      <c r="A863" s="8" t="str">
        <f>SUBSTITUTE('PASTE RAW DATA HERE'!B847, "*", "@")</f>
        <v/>
      </c>
    </row>
    <row r="864" spans="1:1" x14ac:dyDescent="0.25">
      <c r="A864" s="8" t="str">
        <f>SUBSTITUTE('PASTE RAW DATA HERE'!B848, "*", "@")</f>
        <v/>
      </c>
    </row>
    <row r="865" spans="1:1" x14ac:dyDescent="0.25">
      <c r="A865" s="8" t="str">
        <f>SUBSTITUTE('PASTE RAW DATA HERE'!B849, "*", "@")</f>
        <v/>
      </c>
    </row>
    <row r="866" spans="1:1" x14ac:dyDescent="0.25">
      <c r="A866" s="8" t="str">
        <f>SUBSTITUTE('PASTE RAW DATA HERE'!B850, "*", "@")</f>
        <v/>
      </c>
    </row>
    <row r="867" spans="1:1" x14ac:dyDescent="0.25">
      <c r="A867" s="8" t="str">
        <f>SUBSTITUTE('PASTE RAW DATA HERE'!B851, "*", "@")</f>
        <v/>
      </c>
    </row>
    <row r="868" spans="1:1" x14ac:dyDescent="0.25">
      <c r="A868" s="8" t="str">
        <f>SUBSTITUTE('PASTE RAW DATA HERE'!B852, "*", "@")</f>
        <v/>
      </c>
    </row>
    <row r="869" spans="1:1" x14ac:dyDescent="0.25">
      <c r="A869" s="8" t="str">
        <f>SUBSTITUTE('PASTE RAW DATA HERE'!B853, "*", "@")</f>
        <v/>
      </c>
    </row>
    <row r="870" spans="1:1" x14ac:dyDescent="0.25">
      <c r="A870" s="8" t="str">
        <f>SUBSTITUTE('PASTE RAW DATA HERE'!B854, "*", "@")</f>
        <v/>
      </c>
    </row>
    <row r="871" spans="1:1" x14ac:dyDescent="0.25">
      <c r="A871" s="8" t="str">
        <f>SUBSTITUTE('PASTE RAW DATA HERE'!B855, "*", "@")</f>
        <v/>
      </c>
    </row>
    <row r="872" spans="1:1" x14ac:dyDescent="0.25">
      <c r="A872" s="8" t="str">
        <f>SUBSTITUTE('PASTE RAW DATA HERE'!B856, "*", "@")</f>
        <v/>
      </c>
    </row>
    <row r="873" spans="1:1" x14ac:dyDescent="0.25">
      <c r="A873" s="8" t="str">
        <f>SUBSTITUTE('PASTE RAW DATA HERE'!B857, "*", "@")</f>
        <v/>
      </c>
    </row>
    <row r="874" spans="1:1" x14ac:dyDescent="0.25">
      <c r="A874" s="8" t="str">
        <f>SUBSTITUTE('PASTE RAW DATA HERE'!B858, "*", "@")</f>
        <v/>
      </c>
    </row>
    <row r="875" spans="1:1" x14ac:dyDescent="0.25">
      <c r="A875" s="8" t="str">
        <f>SUBSTITUTE('PASTE RAW DATA HERE'!B859, "*", "@")</f>
        <v/>
      </c>
    </row>
    <row r="876" spans="1:1" x14ac:dyDescent="0.25">
      <c r="A876" s="8" t="str">
        <f>SUBSTITUTE('PASTE RAW DATA HERE'!B860, "*", "@")</f>
        <v/>
      </c>
    </row>
    <row r="877" spans="1:1" x14ac:dyDescent="0.25">
      <c r="A877" s="8" t="str">
        <f>SUBSTITUTE('PASTE RAW DATA HERE'!B861, "*", "@")</f>
        <v/>
      </c>
    </row>
    <row r="878" spans="1:1" x14ac:dyDescent="0.25">
      <c r="A878" s="8" t="str">
        <f>SUBSTITUTE('PASTE RAW DATA HERE'!B862, "*", "@")</f>
        <v/>
      </c>
    </row>
    <row r="879" spans="1:1" x14ac:dyDescent="0.25">
      <c r="A879" s="8" t="str">
        <f>SUBSTITUTE('PASTE RAW DATA HERE'!B863, "*", "@")</f>
        <v/>
      </c>
    </row>
    <row r="880" spans="1:1" x14ac:dyDescent="0.25">
      <c r="A880" s="8" t="str">
        <f>SUBSTITUTE('PASTE RAW DATA HERE'!B864, "*", "@")</f>
        <v/>
      </c>
    </row>
    <row r="881" spans="1:1" x14ac:dyDescent="0.25">
      <c r="A881" s="8" t="str">
        <f>SUBSTITUTE('PASTE RAW DATA HERE'!B865, "*", "@")</f>
        <v/>
      </c>
    </row>
    <row r="882" spans="1:1" x14ac:dyDescent="0.25">
      <c r="A882" s="8" t="str">
        <f>SUBSTITUTE('PASTE RAW DATA HERE'!B866, "*", "@")</f>
        <v/>
      </c>
    </row>
    <row r="883" spans="1:1" x14ac:dyDescent="0.25">
      <c r="A883" s="8" t="str">
        <f>SUBSTITUTE('PASTE RAW DATA HERE'!B867, "*", "@")</f>
        <v/>
      </c>
    </row>
    <row r="884" spans="1:1" x14ac:dyDescent="0.25">
      <c r="A884" s="8" t="str">
        <f>SUBSTITUTE('PASTE RAW DATA HERE'!B868, "*", "@")</f>
        <v/>
      </c>
    </row>
    <row r="885" spans="1:1" x14ac:dyDescent="0.25">
      <c r="A885" s="8" t="str">
        <f>SUBSTITUTE('PASTE RAW DATA HERE'!B869, "*", "@")</f>
        <v/>
      </c>
    </row>
    <row r="886" spans="1:1" x14ac:dyDescent="0.25">
      <c r="A886" s="8" t="str">
        <f>SUBSTITUTE('PASTE RAW DATA HERE'!B870, "*", "@")</f>
        <v/>
      </c>
    </row>
    <row r="887" spans="1:1" x14ac:dyDescent="0.25">
      <c r="A887" s="8" t="str">
        <f>SUBSTITUTE('PASTE RAW DATA HERE'!B871, "*", "@")</f>
        <v/>
      </c>
    </row>
    <row r="888" spans="1:1" x14ac:dyDescent="0.25">
      <c r="A888" s="8" t="str">
        <f>SUBSTITUTE('PASTE RAW DATA HERE'!B872, "*", "@")</f>
        <v/>
      </c>
    </row>
    <row r="889" spans="1:1" x14ac:dyDescent="0.25">
      <c r="A889" s="8" t="str">
        <f>SUBSTITUTE('PASTE RAW DATA HERE'!B873, "*", "@")</f>
        <v/>
      </c>
    </row>
    <row r="890" spans="1:1" x14ac:dyDescent="0.25">
      <c r="A890" s="8" t="str">
        <f>SUBSTITUTE('PASTE RAW DATA HERE'!B874, "*", "@")</f>
        <v/>
      </c>
    </row>
    <row r="891" spans="1:1" x14ac:dyDescent="0.25">
      <c r="A891" s="8" t="str">
        <f>SUBSTITUTE('PASTE RAW DATA HERE'!B875, "*", "@")</f>
        <v/>
      </c>
    </row>
    <row r="892" spans="1:1" x14ac:dyDescent="0.25">
      <c r="A892" s="8" t="str">
        <f>SUBSTITUTE('PASTE RAW DATA HERE'!B876, "*", "@")</f>
        <v/>
      </c>
    </row>
    <row r="893" spans="1:1" x14ac:dyDescent="0.25">
      <c r="A893" s="8" t="str">
        <f>SUBSTITUTE('PASTE RAW DATA HERE'!B877, "*", "@")</f>
        <v/>
      </c>
    </row>
    <row r="894" spans="1:1" x14ac:dyDescent="0.25">
      <c r="A894" s="8" t="str">
        <f>SUBSTITUTE('PASTE RAW DATA HERE'!B878, "*", "@")</f>
        <v/>
      </c>
    </row>
    <row r="895" spans="1:1" x14ac:dyDescent="0.25">
      <c r="A895" s="8" t="str">
        <f>SUBSTITUTE('PASTE RAW DATA HERE'!B879, "*", "@")</f>
        <v/>
      </c>
    </row>
    <row r="896" spans="1:1" x14ac:dyDescent="0.25">
      <c r="A896" s="8" t="str">
        <f>SUBSTITUTE('PASTE RAW DATA HERE'!B880, "*", "@")</f>
        <v/>
      </c>
    </row>
    <row r="897" spans="1:1" x14ac:dyDescent="0.25">
      <c r="A897" s="8" t="str">
        <f>SUBSTITUTE('PASTE RAW DATA HERE'!B881, "*", "@")</f>
        <v/>
      </c>
    </row>
    <row r="898" spans="1:1" x14ac:dyDescent="0.25">
      <c r="A898" s="8" t="str">
        <f>SUBSTITUTE('PASTE RAW DATA HERE'!B882, "*", "@")</f>
        <v/>
      </c>
    </row>
    <row r="899" spans="1:1" x14ac:dyDescent="0.25">
      <c r="A899" s="8" t="str">
        <f>SUBSTITUTE('PASTE RAW DATA HERE'!B883, "*", "@")</f>
        <v/>
      </c>
    </row>
    <row r="900" spans="1:1" x14ac:dyDescent="0.25">
      <c r="A900" s="8" t="str">
        <f>SUBSTITUTE('PASTE RAW DATA HERE'!B884, "*", "@")</f>
        <v/>
      </c>
    </row>
    <row r="901" spans="1:1" x14ac:dyDescent="0.25">
      <c r="A901" s="8" t="str">
        <f>SUBSTITUTE('PASTE RAW DATA HERE'!B885, "*", "@")</f>
        <v/>
      </c>
    </row>
    <row r="902" spans="1:1" x14ac:dyDescent="0.25">
      <c r="A902" s="8" t="str">
        <f>SUBSTITUTE('PASTE RAW DATA HERE'!B886, "*", "@")</f>
        <v/>
      </c>
    </row>
    <row r="903" spans="1:1" x14ac:dyDescent="0.25">
      <c r="A903" s="8" t="str">
        <f>SUBSTITUTE('PASTE RAW DATA HERE'!B887, "*", "@")</f>
        <v/>
      </c>
    </row>
    <row r="904" spans="1:1" x14ac:dyDescent="0.25">
      <c r="A904" s="8" t="str">
        <f>SUBSTITUTE('PASTE RAW DATA HERE'!B888, "*", "@")</f>
        <v/>
      </c>
    </row>
    <row r="905" spans="1:1" x14ac:dyDescent="0.25">
      <c r="A905" s="8" t="str">
        <f>SUBSTITUTE('PASTE RAW DATA HERE'!B889, "*", "@")</f>
        <v/>
      </c>
    </row>
    <row r="906" spans="1:1" x14ac:dyDescent="0.25">
      <c r="A906" s="8" t="str">
        <f>SUBSTITUTE('PASTE RAW DATA HERE'!B890, "*", "@")</f>
        <v/>
      </c>
    </row>
    <row r="907" spans="1:1" x14ac:dyDescent="0.25">
      <c r="A907" s="8" t="str">
        <f>SUBSTITUTE('PASTE RAW DATA HERE'!B891, "*", "@")</f>
        <v/>
      </c>
    </row>
    <row r="908" spans="1:1" x14ac:dyDescent="0.25">
      <c r="A908" s="8" t="str">
        <f>SUBSTITUTE('PASTE RAW DATA HERE'!B892, "*", "@")</f>
        <v/>
      </c>
    </row>
    <row r="909" spans="1:1" x14ac:dyDescent="0.25">
      <c r="A909" s="8" t="str">
        <f>SUBSTITUTE('PASTE RAW DATA HERE'!B893, "*", "@")</f>
        <v/>
      </c>
    </row>
    <row r="910" spans="1:1" x14ac:dyDescent="0.25">
      <c r="A910" s="8" t="str">
        <f>SUBSTITUTE('PASTE RAW DATA HERE'!B894, "*", "@")</f>
        <v/>
      </c>
    </row>
    <row r="911" spans="1:1" x14ac:dyDescent="0.25">
      <c r="A911" s="8" t="str">
        <f>SUBSTITUTE('PASTE RAW DATA HERE'!B895, "*", "@")</f>
        <v/>
      </c>
    </row>
    <row r="912" spans="1:1" x14ac:dyDescent="0.25">
      <c r="A912" s="8" t="str">
        <f>SUBSTITUTE('PASTE RAW DATA HERE'!B896, "*", "@")</f>
        <v/>
      </c>
    </row>
    <row r="913" spans="1:1" x14ac:dyDescent="0.25">
      <c r="A913" s="8" t="str">
        <f>SUBSTITUTE('PASTE RAW DATA HERE'!B897, "*", "@")</f>
        <v/>
      </c>
    </row>
    <row r="914" spans="1:1" x14ac:dyDescent="0.25">
      <c r="A914" s="8" t="str">
        <f>SUBSTITUTE('PASTE RAW DATA HERE'!B898, "*", "@")</f>
        <v/>
      </c>
    </row>
    <row r="915" spans="1:1" x14ac:dyDescent="0.25">
      <c r="A915" s="8" t="str">
        <f>SUBSTITUTE('PASTE RAW DATA HERE'!B899, "*", "@")</f>
        <v/>
      </c>
    </row>
    <row r="916" spans="1:1" x14ac:dyDescent="0.25">
      <c r="A916" s="8" t="str">
        <f>SUBSTITUTE('PASTE RAW DATA HERE'!B900, "*", "@")</f>
        <v/>
      </c>
    </row>
    <row r="917" spans="1:1" x14ac:dyDescent="0.25">
      <c r="A917" s="8" t="str">
        <f>SUBSTITUTE('PASTE RAW DATA HERE'!B901, "*", "@")</f>
        <v/>
      </c>
    </row>
    <row r="918" spans="1:1" x14ac:dyDescent="0.25">
      <c r="A918" s="8" t="str">
        <f>SUBSTITUTE('PASTE RAW DATA HERE'!B902, "*", "@")</f>
        <v/>
      </c>
    </row>
    <row r="919" spans="1:1" x14ac:dyDescent="0.25">
      <c r="A919" s="8" t="str">
        <f>SUBSTITUTE('PASTE RAW DATA HERE'!B903, "*", "@")</f>
        <v/>
      </c>
    </row>
    <row r="920" spans="1:1" x14ac:dyDescent="0.25">
      <c r="A920" s="8" t="str">
        <f>SUBSTITUTE('PASTE RAW DATA HERE'!B904, "*", "@")</f>
        <v/>
      </c>
    </row>
    <row r="921" spans="1:1" x14ac:dyDescent="0.25">
      <c r="A921" s="8" t="str">
        <f>SUBSTITUTE('PASTE RAW DATA HERE'!B905, "*", "@")</f>
        <v/>
      </c>
    </row>
    <row r="922" spans="1:1" x14ac:dyDescent="0.25">
      <c r="A922" s="8" t="str">
        <f>SUBSTITUTE('PASTE RAW DATA HERE'!B906, "*", "@")</f>
        <v/>
      </c>
    </row>
    <row r="923" spans="1:1" x14ac:dyDescent="0.25">
      <c r="A923" s="8" t="str">
        <f>SUBSTITUTE('PASTE RAW DATA HERE'!B907, "*", "@")</f>
        <v/>
      </c>
    </row>
    <row r="924" spans="1:1" x14ac:dyDescent="0.25">
      <c r="A924" s="8" t="str">
        <f>SUBSTITUTE('PASTE RAW DATA HERE'!B908, "*", "@")</f>
        <v/>
      </c>
    </row>
    <row r="925" spans="1:1" x14ac:dyDescent="0.25">
      <c r="A925" s="8" t="str">
        <f>SUBSTITUTE('PASTE RAW DATA HERE'!B909, "*", "@")</f>
        <v/>
      </c>
    </row>
    <row r="926" spans="1:1" x14ac:dyDescent="0.25">
      <c r="A926" s="8" t="str">
        <f>SUBSTITUTE('PASTE RAW DATA HERE'!B910, "*", "@")</f>
        <v/>
      </c>
    </row>
    <row r="927" spans="1:1" x14ac:dyDescent="0.25">
      <c r="A927" s="8" t="str">
        <f>SUBSTITUTE('PASTE RAW DATA HERE'!B911, "*", "@")</f>
        <v/>
      </c>
    </row>
    <row r="928" spans="1:1" x14ac:dyDescent="0.25">
      <c r="A928" s="8" t="str">
        <f>SUBSTITUTE('PASTE RAW DATA HERE'!B912, "*", "@")</f>
        <v/>
      </c>
    </row>
    <row r="929" spans="1:1" x14ac:dyDescent="0.25">
      <c r="A929" s="8" t="str">
        <f>SUBSTITUTE('PASTE RAW DATA HERE'!B913, "*", "@")</f>
        <v/>
      </c>
    </row>
    <row r="930" spans="1:1" x14ac:dyDescent="0.25">
      <c r="A930" s="8" t="str">
        <f>SUBSTITUTE('PASTE RAW DATA HERE'!B914, "*", "@")</f>
        <v/>
      </c>
    </row>
    <row r="931" spans="1:1" x14ac:dyDescent="0.25">
      <c r="A931" s="8" t="str">
        <f>SUBSTITUTE('PASTE RAW DATA HERE'!B915, "*", "@")</f>
        <v/>
      </c>
    </row>
    <row r="932" spans="1:1" x14ac:dyDescent="0.25">
      <c r="A932" s="8" t="str">
        <f>SUBSTITUTE('PASTE RAW DATA HERE'!B916, "*", "@")</f>
        <v/>
      </c>
    </row>
    <row r="933" spans="1:1" x14ac:dyDescent="0.25">
      <c r="A933" s="8" t="str">
        <f>SUBSTITUTE('PASTE RAW DATA HERE'!B917, "*", "@")</f>
        <v/>
      </c>
    </row>
    <row r="934" spans="1:1" x14ac:dyDescent="0.25">
      <c r="A934" s="8" t="str">
        <f>SUBSTITUTE('PASTE RAW DATA HERE'!B918, "*", "@")</f>
        <v/>
      </c>
    </row>
    <row r="935" spans="1:1" x14ac:dyDescent="0.25">
      <c r="A935" s="8" t="str">
        <f>SUBSTITUTE('PASTE RAW DATA HERE'!B919, "*", "@")</f>
        <v/>
      </c>
    </row>
    <row r="936" spans="1:1" x14ac:dyDescent="0.25">
      <c r="A936" s="8" t="str">
        <f>SUBSTITUTE('PASTE RAW DATA HERE'!B920, "*", "@")</f>
        <v/>
      </c>
    </row>
    <row r="937" spans="1:1" x14ac:dyDescent="0.25">
      <c r="A937" s="8" t="str">
        <f>SUBSTITUTE('PASTE RAW DATA HERE'!B921, "*", "@")</f>
        <v/>
      </c>
    </row>
    <row r="938" spans="1:1" x14ac:dyDescent="0.25">
      <c r="A938" s="8" t="str">
        <f>SUBSTITUTE('PASTE RAW DATA HERE'!B922, "*", "@")</f>
        <v/>
      </c>
    </row>
    <row r="939" spans="1:1" x14ac:dyDescent="0.25">
      <c r="A939" s="8" t="str">
        <f>SUBSTITUTE('PASTE RAW DATA HERE'!B923, "*", "@")</f>
        <v/>
      </c>
    </row>
    <row r="940" spans="1:1" x14ac:dyDescent="0.25">
      <c r="A940" s="8" t="str">
        <f>SUBSTITUTE('PASTE RAW DATA HERE'!B924, "*", "@")</f>
        <v/>
      </c>
    </row>
    <row r="941" spans="1:1" x14ac:dyDescent="0.25">
      <c r="A941" s="8" t="str">
        <f>SUBSTITUTE('PASTE RAW DATA HERE'!B925, "*", "@")</f>
        <v/>
      </c>
    </row>
    <row r="942" spans="1:1" x14ac:dyDescent="0.25">
      <c r="A942" s="8" t="str">
        <f>SUBSTITUTE('PASTE RAW DATA HERE'!B926, "*", "@")</f>
        <v/>
      </c>
    </row>
    <row r="943" spans="1:1" x14ac:dyDescent="0.25">
      <c r="A943" s="8" t="str">
        <f>SUBSTITUTE('PASTE RAW DATA HERE'!B927, "*", "@")</f>
        <v/>
      </c>
    </row>
    <row r="944" spans="1:1" x14ac:dyDescent="0.25">
      <c r="A944" s="8" t="str">
        <f>SUBSTITUTE('PASTE RAW DATA HERE'!B928, "*", "@")</f>
        <v/>
      </c>
    </row>
    <row r="945" spans="1:1" x14ac:dyDescent="0.25">
      <c r="A945" s="8" t="str">
        <f>SUBSTITUTE('PASTE RAW DATA HERE'!B929, "*", "@")</f>
        <v/>
      </c>
    </row>
    <row r="946" spans="1:1" x14ac:dyDescent="0.25">
      <c r="A946" s="8" t="str">
        <f>SUBSTITUTE('PASTE RAW DATA HERE'!B930, "*", "@")</f>
        <v/>
      </c>
    </row>
    <row r="947" spans="1:1" x14ac:dyDescent="0.25">
      <c r="A947" s="8" t="str">
        <f>SUBSTITUTE('PASTE RAW DATA HERE'!B931, "*", "@")</f>
        <v/>
      </c>
    </row>
    <row r="948" spans="1:1" x14ac:dyDescent="0.25">
      <c r="A948" s="8" t="str">
        <f>SUBSTITUTE('PASTE RAW DATA HERE'!B932, "*", "@")</f>
        <v/>
      </c>
    </row>
    <row r="949" spans="1:1" x14ac:dyDescent="0.25">
      <c r="A949" s="8" t="str">
        <f>SUBSTITUTE('PASTE RAW DATA HERE'!B933, "*", "@")</f>
        <v/>
      </c>
    </row>
    <row r="950" spans="1:1" x14ac:dyDescent="0.25">
      <c r="A950" s="8" t="str">
        <f>SUBSTITUTE('PASTE RAW DATA HERE'!B934, "*", "@")</f>
        <v/>
      </c>
    </row>
    <row r="951" spans="1:1" x14ac:dyDescent="0.25">
      <c r="A951" s="8" t="str">
        <f>SUBSTITUTE('PASTE RAW DATA HERE'!B935, "*", "@")</f>
        <v/>
      </c>
    </row>
    <row r="952" spans="1:1" x14ac:dyDescent="0.25">
      <c r="A952" s="8" t="str">
        <f>SUBSTITUTE('PASTE RAW DATA HERE'!B936, "*", "@")</f>
        <v/>
      </c>
    </row>
    <row r="953" spans="1:1" x14ac:dyDescent="0.25">
      <c r="A953" s="8" t="str">
        <f>SUBSTITUTE('PASTE RAW DATA HERE'!B937, "*", "@")</f>
        <v/>
      </c>
    </row>
    <row r="954" spans="1:1" x14ac:dyDescent="0.25">
      <c r="A954" s="8" t="str">
        <f>SUBSTITUTE('PASTE RAW DATA HERE'!B938, "*", "@")</f>
        <v/>
      </c>
    </row>
    <row r="955" spans="1:1" x14ac:dyDescent="0.25">
      <c r="A955" s="8" t="str">
        <f>SUBSTITUTE('PASTE RAW DATA HERE'!B939, "*", "@")</f>
        <v/>
      </c>
    </row>
    <row r="956" spans="1:1" x14ac:dyDescent="0.25">
      <c r="A956" s="8" t="str">
        <f>SUBSTITUTE('PASTE RAW DATA HERE'!B940, "*", "@")</f>
        <v/>
      </c>
    </row>
    <row r="957" spans="1:1" x14ac:dyDescent="0.25">
      <c r="A957" s="8" t="str">
        <f>SUBSTITUTE('PASTE RAW DATA HERE'!B941, "*", "@")</f>
        <v/>
      </c>
    </row>
    <row r="958" spans="1:1" x14ac:dyDescent="0.25">
      <c r="A958" s="8" t="str">
        <f>SUBSTITUTE('PASTE RAW DATA HERE'!B942, "*", "@")</f>
        <v/>
      </c>
    </row>
    <row r="959" spans="1:1" x14ac:dyDescent="0.25">
      <c r="A959" s="8" t="str">
        <f>SUBSTITUTE('PASTE RAW DATA HERE'!B943, "*", "@")</f>
        <v/>
      </c>
    </row>
    <row r="960" spans="1:1" x14ac:dyDescent="0.25">
      <c r="A960" s="8" t="str">
        <f>SUBSTITUTE('PASTE RAW DATA HERE'!B944, "*", "@")</f>
        <v/>
      </c>
    </row>
    <row r="961" spans="1:1" x14ac:dyDescent="0.25">
      <c r="A961" s="8" t="str">
        <f>SUBSTITUTE('PASTE RAW DATA HERE'!B945, "*", "@")</f>
        <v/>
      </c>
    </row>
    <row r="962" spans="1:1" x14ac:dyDescent="0.25">
      <c r="A962" s="8" t="str">
        <f>SUBSTITUTE('PASTE RAW DATA HERE'!B946, "*", "@")</f>
        <v/>
      </c>
    </row>
    <row r="963" spans="1:1" x14ac:dyDescent="0.25">
      <c r="A963" s="8" t="str">
        <f>SUBSTITUTE('PASTE RAW DATA HERE'!B947, "*", "@")</f>
        <v/>
      </c>
    </row>
    <row r="964" spans="1:1" x14ac:dyDescent="0.25">
      <c r="A964" s="8" t="str">
        <f>SUBSTITUTE('PASTE RAW DATA HERE'!B948, "*", "@")</f>
        <v/>
      </c>
    </row>
    <row r="965" spans="1:1" x14ac:dyDescent="0.25">
      <c r="A965" s="8" t="str">
        <f>SUBSTITUTE('PASTE RAW DATA HERE'!B949, "*", "@")</f>
        <v/>
      </c>
    </row>
    <row r="966" spans="1:1" x14ac:dyDescent="0.25">
      <c r="A966" s="8" t="str">
        <f>SUBSTITUTE('PASTE RAW DATA HERE'!B950, "*", "@")</f>
        <v/>
      </c>
    </row>
    <row r="967" spans="1:1" x14ac:dyDescent="0.25">
      <c r="A967" s="8" t="str">
        <f>SUBSTITUTE('PASTE RAW DATA HERE'!B951, "*", "@")</f>
        <v/>
      </c>
    </row>
    <row r="968" spans="1:1" x14ac:dyDescent="0.25">
      <c r="A968" s="8" t="str">
        <f>SUBSTITUTE('PASTE RAW DATA HERE'!B952, "*", "@")</f>
        <v/>
      </c>
    </row>
    <row r="969" spans="1:1" x14ac:dyDescent="0.25">
      <c r="A969" s="8" t="str">
        <f>SUBSTITUTE('PASTE RAW DATA HERE'!B953, "*", "@")</f>
        <v/>
      </c>
    </row>
    <row r="970" spans="1:1" x14ac:dyDescent="0.25">
      <c r="A970" s="8" t="str">
        <f>SUBSTITUTE('PASTE RAW DATA HERE'!B954, "*", "@")</f>
        <v/>
      </c>
    </row>
    <row r="971" spans="1:1" x14ac:dyDescent="0.25">
      <c r="A971" s="8" t="str">
        <f>SUBSTITUTE('PASTE RAW DATA HERE'!B955, "*", "@")</f>
        <v/>
      </c>
    </row>
    <row r="972" spans="1:1" x14ac:dyDescent="0.25">
      <c r="A972" s="8" t="str">
        <f>SUBSTITUTE('PASTE RAW DATA HERE'!B956, "*", "@")</f>
        <v/>
      </c>
    </row>
    <row r="973" spans="1:1" x14ac:dyDescent="0.25">
      <c r="A973" s="8" t="str">
        <f>SUBSTITUTE('PASTE RAW DATA HERE'!B957, "*", "@")</f>
        <v/>
      </c>
    </row>
    <row r="974" spans="1:1" x14ac:dyDescent="0.25">
      <c r="A974" s="8" t="str">
        <f>SUBSTITUTE('PASTE RAW DATA HERE'!B958, "*", "@")</f>
        <v/>
      </c>
    </row>
    <row r="975" spans="1:1" x14ac:dyDescent="0.25">
      <c r="A975" s="8" t="str">
        <f>SUBSTITUTE('PASTE RAW DATA HERE'!B959, "*", "@")</f>
        <v/>
      </c>
    </row>
    <row r="976" spans="1:1" x14ac:dyDescent="0.25">
      <c r="A976" s="8" t="str">
        <f>SUBSTITUTE('PASTE RAW DATA HERE'!B960, "*", "@")</f>
        <v/>
      </c>
    </row>
    <row r="977" spans="1:1" x14ac:dyDescent="0.25">
      <c r="A977" s="8" t="str">
        <f>SUBSTITUTE('PASTE RAW DATA HERE'!B961, "*", "@")</f>
        <v/>
      </c>
    </row>
    <row r="978" spans="1:1" x14ac:dyDescent="0.25">
      <c r="A978" s="8" t="str">
        <f>SUBSTITUTE('PASTE RAW DATA HERE'!B962, "*", "@")</f>
        <v/>
      </c>
    </row>
    <row r="979" spans="1:1" x14ac:dyDescent="0.25">
      <c r="A979" s="8" t="str">
        <f>SUBSTITUTE('PASTE RAW DATA HERE'!B963, "*", "@")</f>
        <v/>
      </c>
    </row>
    <row r="980" spans="1:1" x14ac:dyDescent="0.25">
      <c r="A980" s="8" t="str">
        <f>SUBSTITUTE('PASTE RAW DATA HERE'!B964, "*", "@")</f>
        <v/>
      </c>
    </row>
    <row r="981" spans="1:1" x14ac:dyDescent="0.25">
      <c r="A981" s="8" t="str">
        <f>SUBSTITUTE('PASTE RAW DATA HERE'!B965, "*", "@")</f>
        <v/>
      </c>
    </row>
    <row r="982" spans="1:1" x14ac:dyDescent="0.25">
      <c r="A982" s="8" t="str">
        <f>SUBSTITUTE('PASTE RAW DATA HERE'!B966, "*", "@")</f>
        <v/>
      </c>
    </row>
    <row r="983" spans="1:1" x14ac:dyDescent="0.25">
      <c r="A983" s="8" t="str">
        <f>SUBSTITUTE('PASTE RAW DATA HERE'!B967, "*", "@")</f>
        <v/>
      </c>
    </row>
    <row r="984" spans="1:1" x14ac:dyDescent="0.25">
      <c r="A984" s="8" t="str">
        <f>SUBSTITUTE('PASTE RAW DATA HERE'!B968, "*", "@")</f>
        <v/>
      </c>
    </row>
    <row r="985" spans="1:1" x14ac:dyDescent="0.25">
      <c r="A985" s="8" t="str">
        <f>SUBSTITUTE('PASTE RAW DATA HERE'!B969, "*", "@")</f>
        <v/>
      </c>
    </row>
    <row r="986" spans="1:1" x14ac:dyDescent="0.25">
      <c r="A986" s="8" t="str">
        <f>SUBSTITUTE('PASTE RAW DATA HERE'!B970, "*", "@")</f>
        <v/>
      </c>
    </row>
    <row r="987" spans="1:1" x14ac:dyDescent="0.25">
      <c r="A987" s="8" t="str">
        <f>SUBSTITUTE('PASTE RAW DATA HERE'!B971, "*", "@")</f>
        <v/>
      </c>
    </row>
    <row r="988" spans="1:1" x14ac:dyDescent="0.25">
      <c r="A988" s="8" t="str">
        <f>SUBSTITUTE('PASTE RAW DATA HERE'!B972, "*", "@")</f>
        <v/>
      </c>
    </row>
    <row r="989" spans="1:1" x14ac:dyDescent="0.25">
      <c r="A989" s="8" t="str">
        <f>SUBSTITUTE('PASTE RAW DATA HERE'!B973, "*", "@")</f>
        <v/>
      </c>
    </row>
    <row r="990" spans="1:1" x14ac:dyDescent="0.25">
      <c r="A990" s="8" t="str">
        <f>SUBSTITUTE('PASTE RAW DATA HERE'!B974, "*", "@")</f>
        <v/>
      </c>
    </row>
    <row r="991" spans="1:1" x14ac:dyDescent="0.25">
      <c r="A991" s="8" t="str">
        <f>SUBSTITUTE('PASTE RAW DATA HERE'!B975, "*", "@")</f>
        <v/>
      </c>
    </row>
    <row r="992" spans="1:1" x14ac:dyDescent="0.25">
      <c r="A992" s="8" t="str">
        <f>SUBSTITUTE('PASTE RAW DATA HERE'!B976, "*", "@")</f>
        <v/>
      </c>
    </row>
    <row r="993" spans="1:1" x14ac:dyDescent="0.25">
      <c r="A993" s="8" t="str">
        <f>SUBSTITUTE('PASTE RAW DATA HERE'!B977, "*", "@")</f>
        <v/>
      </c>
    </row>
    <row r="994" spans="1:1" x14ac:dyDescent="0.25">
      <c r="A994" s="8" t="str">
        <f>SUBSTITUTE('PASTE RAW DATA HERE'!B978, "*", "@")</f>
        <v/>
      </c>
    </row>
    <row r="995" spans="1:1" x14ac:dyDescent="0.25">
      <c r="A995" s="8" t="str">
        <f>SUBSTITUTE('PASTE RAW DATA HERE'!B979, "*", "@")</f>
        <v/>
      </c>
    </row>
    <row r="996" spans="1:1" x14ac:dyDescent="0.25">
      <c r="A996" s="8" t="str">
        <f>SUBSTITUTE('PASTE RAW DATA HERE'!B980, "*", "@")</f>
        <v/>
      </c>
    </row>
    <row r="997" spans="1:1" x14ac:dyDescent="0.25">
      <c r="A997" s="8" t="str">
        <f>SUBSTITUTE('PASTE RAW DATA HERE'!B981, "*", "@")</f>
        <v/>
      </c>
    </row>
    <row r="998" spans="1:1" x14ac:dyDescent="0.25">
      <c r="A998" s="8" t="str">
        <f>SUBSTITUTE('PASTE RAW DATA HERE'!B982, "*", "@")</f>
        <v/>
      </c>
    </row>
    <row r="999" spans="1:1" x14ac:dyDescent="0.25">
      <c r="A999" s="8" t="str">
        <f>SUBSTITUTE('PASTE RAW DATA HERE'!B983, "*", "@")</f>
        <v/>
      </c>
    </row>
    <row r="1000" spans="1:1" x14ac:dyDescent="0.25">
      <c r="A1000" s="8" t="str">
        <f>SUBSTITUTE('PASTE RAW DATA HERE'!B984, "*", "@")</f>
        <v/>
      </c>
    </row>
    <row r="1001" spans="1:1" x14ac:dyDescent="0.25">
      <c r="A1001" s="8" t="str">
        <f>SUBSTITUTE('PASTE RAW DATA HERE'!B985, "*", "@")</f>
        <v/>
      </c>
    </row>
    <row r="1002" spans="1:1" x14ac:dyDescent="0.25">
      <c r="A1002" s="8" t="str">
        <f>SUBSTITUTE('PASTE RAW DATA HERE'!B986, "*", "@")</f>
        <v/>
      </c>
    </row>
    <row r="1003" spans="1:1" x14ac:dyDescent="0.25">
      <c r="A1003" s="8" t="str">
        <f>SUBSTITUTE('PASTE RAW DATA HERE'!B987, "*", "@")</f>
        <v/>
      </c>
    </row>
    <row r="1004" spans="1:1" x14ac:dyDescent="0.25">
      <c r="A1004" s="8" t="str">
        <f>SUBSTITUTE('PASTE RAW DATA HERE'!B988, "*", "@")</f>
        <v/>
      </c>
    </row>
    <row r="1005" spans="1:1" x14ac:dyDescent="0.25">
      <c r="A1005" s="8" t="str">
        <f>SUBSTITUTE('PASTE RAW DATA HERE'!B989, "*", "@")</f>
        <v/>
      </c>
    </row>
    <row r="1006" spans="1:1" x14ac:dyDescent="0.25">
      <c r="A1006" s="8" t="str">
        <f>SUBSTITUTE('PASTE RAW DATA HERE'!B990, "*", "@")</f>
        <v/>
      </c>
    </row>
    <row r="1007" spans="1:1" x14ac:dyDescent="0.25">
      <c r="A1007" s="8" t="str">
        <f>SUBSTITUTE('PASTE RAW DATA HERE'!B991, "*", "@")</f>
        <v/>
      </c>
    </row>
    <row r="1008" spans="1:1" x14ac:dyDescent="0.25">
      <c r="A1008" s="8" t="str">
        <f>SUBSTITUTE('PASTE RAW DATA HERE'!B992, "*", "@")</f>
        <v/>
      </c>
    </row>
    <row r="1009" spans="1:1" x14ac:dyDescent="0.25">
      <c r="A1009" s="8" t="str">
        <f>SUBSTITUTE('PASTE RAW DATA HERE'!B993, "*", "@")</f>
        <v/>
      </c>
    </row>
    <row r="1010" spans="1:1" x14ac:dyDescent="0.25">
      <c r="A1010" s="8" t="str">
        <f>SUBSTITUTE('PASTE RAW DATA HERE'!B994, "*", "@")</f>
        <v/>
      </c>
    </row>
    <row r="1011" spans="1:1" x14ac:dyDescent="0.25">
      <c r="A1011" s="8" t="str">
        <f>SUBSTITUTE('PASTE RAW DATA HERE'!B995, "*", "@")</f>
        <v/>
      </c>
    </row>
    <row r="1012" spans="1:1" x14ac:dyDescent="0.25">
      <c r="A1012" s="8" t="str">
        <f>SUBSTITUTE('PASTE RAW DATA HERE'!B996, "*", "@")</f>
        <v/>
      </c>
    </row>
    <row r="1013" spans="1:1" x14ac:dyDescent="0.25">
      <c r="A1013" s="8" t="str">
        <f>SUBSTITUTE('PASTE RAW DATA HERE'!B997, "*", "@")</f>
        <v/>
      </c>
    </row>
    <row r="1014" spans="1:1" x14ac:dyDescent="0.25">
      <c r="A1014" s="8" t="str">
        <f>SUBSTITUTE('PASTE RAW DATA HERE'!B998, "*", "@")</f>
        <v/>
      </c>
    </row>
    <row r="1015" spans="1:1" x14ac:dyDescent="0.25">
      <c r="A1015" s="8" t="str">
        <f>SUBSTITUTE('PASTE RAW DATA HERE'!B999, "*", "@")</f>
        <v/>
      </c>
    </row>
    <row r="1016" spans="1:1" x14ac:dyDescent="0.25">
      <c r="A1016" s="8" t="str">
        <f>SUBSTITUTE('PASTE RAW DATA HERE'!B1000, "*", "@")</f>
        <v/>
      </c>
    </row>
    <row r="1017" spans="1:1" x14ac:dyDescent="0.25">
      <c r="A1017" s="8" t="str">
        <f>SUBSTITUTE('PASTE RAW DATA HERE'!B1001, "*", "@")</f>
        <v/>
      </c>
    </row>
    <row r="1018" spans="1:1" x14ac:dyDescent="0.25">
      <c r="A1018" s="8" t="str">
        <f>SUBSTITUTE('PASTE RAW DATA HERE'!B1002, "*", "@")</f>
        <v/>
      </c>
    </row>
    <row r="1019" spans="1:1" x14ac:dyDescent="0.25">
      <c r="A1019" s="8" t="str">
        <f>SUBSTITUTE('PASTE RAW DATA HERE'!B1003, "*", "@")</f>
        <v/>
      </c>
    </row>
    <row r="1020" spans="1:1" x14ac:dyDescent="0.25">
      <c r="A1020" s="8" t="str">
        <f>SUBSTITUTE('PASTE RAW DATA HERE'!B1004, "*", "@")</f>
        <v/>
      </c>
    </row>
    <row r="1021" spans="1:1" x14ac:dyDescent="0.25">
      <c r="A1021" s="8" t="str">
        <f>SUBSTITUTE('PASTE RAW DATA HERE'!B1005, "*", "@")</f>
        <v/>
      </c>
    </row>
    <row r="1022" spans="1:1" x14ac:dyDescent="0.25">
      <c r="A1022" s="8" t="str">
        <f>SUBSTITUTE('PASTE RAW DATA HERE'!B1006, "*", "@")</f>
        <v/>
      </c>
    </row>
    <row r="1023" spans="1:1" x14ac:dyDescent="0.25">
      <c r="A1023" s="8" t="str">
        <f>SUBSTITUTE('PASTE RAW DATA HERE'!B1007, "*", "@")</f>
        <v/>
      </c>
    </row>
    <row r="1024" spans="1:1" x14ac:dyDescent="0.25">
      <c r="A1024" s="8" t="str">
        <f>SUBSTITUTE('PASTE RAW DATA HERE'!B1008, "*", "@")</f>
        <v/>
      </c>
    </row>
    <row r="1025" spans="1:1" x14ac:dyDescent="0.25">
      <c r="A1025" s="8" t="str">
        <f>SUBSTITUTE('PASTE RAW DATA HERE'!B1009, "*", "@")</f>
        <v/>
      </c>
    </row>
    <row r="1026" spans="1:1" x14ac:dyDescent="0.25">
      <c r="A1026" s="8" t="str">
        <f>SUBSTITUTE('PASTE RAW DATA HERE'!B1010, "*", "@")</f>
        <v/>
      </c>
    </row>
    <row r="1027" spans="1:1" x14ac:dyDescent="0.25">
      <c r="A1027" s="8" t="str">
        <f>SUBSTITUTE('PASTE RAW DATA HERE'!B1011, "*", "@")</f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G33"/>
  <sheetViews>
    <sheetView showGridLines="0" zoomScaleNormal="100" workbookViewId="0">
      <selection activeCell="X3" sqref="X3"/>
    </sheetView>
  </sheetViews>
  <sheetFormatPr defaultColWidth="5.7109375" defaultRowHeight="15" x14ac:dyDescent="0.25"/>
  <sheetData>
    <row r="1" spans="1:189" ht="15.75" x14ac:dyDescent="0.25">
      <c r="A1" s="24" t="str">
        <f>"Avilability Report - "&amp;Calculation!K5</f>
        <v>Avilability Report - Tufnell House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3" spans="1:189" x14ac:dyDescent="0.25">
      <c r="A3" s="1" t="str">
        <f>'PASTE RAW DATA HERE'!A3</f>
        <v>From: 29/12/2018 To: 19/04/2019</v>
      </c>
    </row>
    <row r="5" spans="1:189" x14ac:dyDescent="0.25">
      <c r="A5" t="s">
        <v>8</v>
      </c>
      <c r="D5" s="14" t="str">
        <f>Calculation!L13&amp;" beds"</f>
        <v>50 beds</v>
      </c>
    </row>
    <row r="7" spans="1:189" x14ac:dyDescent="0.25">
      <c r="A7" s="1" t="s">
        <v>15</v>
      </c>
    </row>
    <row r="8" spans="1:189" s="2" customFormat="1" ht="12" customHeight="1" x14ac:dyDescent="0.25">
      <c r="A8" s="2" t="str">
        <f>IF('PASTE RAW DATA HERE'!C$8=0, "", 'PASTE RAW DATA HERE'!C$8)</f>
        <v>Dec</v>
      </c>
      <c r="B8" s="2" t="str">
        <f>IF('PASTE RAW DATA HERE'!D$8=0, "", 'PASTE RAW DATA HERE'!D$8)</f>
        <v>Dec</v>
      </c>
      <c r="C8" s="2" t="str">
        <f>IF('PASTE RAW DATA HERE'!E$8=0, "", 'PASTE RAW DATA HERE'!E$8)</f>
        <v>Dec</v>
      </c>
      <c r="D8" s="2" t="str">
        <f>IF('PASTE RAW DATA HERE'!F$8=0, "", 'PASTE RAW DATA HERE'!F$8)</f>
        <v>Jan</v>
      </c>
      <c r="E8" s="2" t="str">
        <f>IF('PASTE RAW DATA HERE'!G$8=0, "", 'PASTE RAW DATA HERE'!G$8)</f>
        <v>Jan</v>
      </c>
      <c r="F8" s="2" t="str">
        <f>IF('PASTE RAW DATA HERE'!H$8=0, "", 'PASTE RAW DATA HERE'!H$8)</f>
        <v>Jan</v>
      </c>
      <c r="G8" s="2" t="str">
        <f>IF('PASTE RAW DATA HERE'!I$8=0, "", 'PASTE RAW DATA HERE'!I$8)</f>
        <v>Jan</v>
      </c>
      <c r="H8" s="2" t="str">
        <f>IF('PASTE RAW DATA HERE'!J$8=0, "", 'PASTE RAW DATA HERE'!J$8)</f>
        <v>Jan</v>
      </c>
      <c r="I8" s="2" t="str">
        <f>IF('PASTE RAW DATA HERE'!K$8=0, "", 'PASTE RAW DATA HERE'!K$8)</f>
        <v>Jan</v>
      </c>
      <c r="J8" s="2" t="str">
        <f>IF('PASTE RAW DATA HERE'!L$8=0, "", 'PASTE RAW DATA HERE'!L$8)</f>
        <v>Jan</v>
      </c>
      <c r="K8" s="2" t="str">
        <f>IF('PASTE RAW DATA HERE'!M$8=0, "", 'PASTE RAW DATA HERE'!M$8)</f>
        <v>Jan</v>
      </c>
      <c r="L8" s="2" t="str">
        <f>IF('PASTE RAW DATA HERE'!N$8=0, "", 'PASTE RAW DATA HERE'!N$8)</f>
        <v>Jan</v>
      </c>
      <c r="M8" s="2" t="str">
        <f>IF('PASTE RAW DATA HERE'!O$8=0, "", 'PASTE RAW DATA HERE'!O$8)</f>
        <v>Jan</v>
      </c>
      <c r="N8" s="2" t="str">
        <f>IF('PASTE RAW DATA HERE'!P$8=0, "", 'PASTE RAW DATA HERE'!P$8)</f>
        <v>Jan</v>
      </c>
      <c r="O8" s="2" t="str">
        <f>IF('PASTE RAW DATA HERE'!Q$8=0, "", 'PASTE RAW DATA HERE'!Q$8)</f>
        <v>Jan</v>
      </c>
      <c r="P8" s="2" t="str">
        <f>IF('PASTE RAW DATA HERE'!R$8=0, "", 'PASTE RAW DATA HERE'!R$8)</f>
        <v>Jan</v>
      </c>
      <c r="Q8" s="2" t="str">
        <f>IF('PASTE RAW DATA HERE'!S$8=0, "", 'PASTE RAW DATA HERE'!S$8)</f>
        <v>Jan</v>
      </c>
      <c r="R8" s="2" t="str">
        <f>IF('PASTE RAW DATA HERE'!T$8=0, "", 'PASTE RAW DATA HERE'!T$8)</f>
        <v>Jan</v>
      </c>
      <c r="S8" s="2" t="str">
        <f>IF('PASTE RAW DATA HERE'!U$8=0, "", 'PASTE RAW DATA HERE'!U$8)</f>
        <v>Jan</v>
      </c>
      <c r="T8" s="2" t="str">
        <f>IF('PASTE RAW DATA HERE'!V$8=0, "", 'PASTE RAW DATA HERE'!V$8)</f>
        <v>Jan</v>
      </c>
      <c r="U8" s="2" t="str">
        <f>IF('PASTE RAW DATA HERE'!W$8=0, "", 'PASTE RAW DATA HERE'!W$8)</f>
        <v>Jan</v>
      </c>
      <c r="V8" s="2" t="str">
        <f>IF('PASTE RAW DATA HERE'!X$8=0, "", 'PASTE RAW DATA HERE'!X$8)</f>
        <v>Jan</v>
      </c>
      <c r="W8" s="2" t="str">
        <f>IF('PASTE RAW DATA HERE'!Y$8=0, "", 'PASTE RAW DATA HERE'!Y$8)</f>
        <v>Jan</v>
      </c>
      <c r="X8" s="2" t="str">
        <f>IF('PASTE RAW DATA HERE'!Z$8=0, "", 'PASTE RAW DATA HERE'!Z$8)</f>
        <v>Jan</v>
      </c>
      <c r="Y8" s="2" t="str">
        <f>IF('PASTE RAW DATA HERE'!AA$8=0, "", 'PASTE RAW DATA HERE'!AA$8)</f>
        <v>Jan</v>
      </c>
      <c r="Z8" s="2" t="str">
        <f>IF('PASTE RAW DATA HERE'!AB$8=0, "", 'PASTE RAW DATA HERE'!AB$8)</f>
        <v>Jan</v>
      </c>
      <c r="AA8" s="2" t="str">
        <f>IF('PASTE RAW DATA HERE'!AC$8=0, "", 'PASTE RAW DATA HERE'!AC$8)</f>
        <v>Jan</v>
      </c>
      <c r="AB8" s="2" t="str">
        <f>IF('PASTE RAW DATA HERE'!AD$8=0, "", 'PASTE RAW DATA HERE'!AD$8)</f>
        <v>Jan</v>
      </c>
      <c r="AC8" s="2" t="str">
        <f>IF('PASTE RAW DATA HERE'!AE$8=0, "", 'PASTE RAW DATA HERE'!AE$8)</f>
        <v>Jan</v>
      </c>
      <c r="AD8" s="2" t="str">
        <f>IF('PASTE RAW DATA HERE'!AF$8=0, "", 'PASTE RAW DATA HERE'!AF$8)</f>
        <v>Jan</v>
      </c>
      <c r="AE8" s="2" t="str">
        <f>IF('PASTE RAW DATA HERE'!AG$8=0, "", 'PASTE RAW DATA HERE'!AG$8)</f>
        <v>Jan</v>
      </c>
      <c r="AF8" s="2" t="str">
        <f>IF('PASTE RAW DATA HERE'!AH$8=0, "", 'PASTE RAW DATA HERE'!AH$8)</f>
        <v>Jan</v>
      </c>
      <c r="AG8" s="2" t="str">
        <f>IF('PASTE RAW DATA HERE'!AI$8=0, "", 'PASTE RAW DATA HERE'!AI$8)</f>
        <v>Jan</v>
      </c>
      <c r="AH8" s="2" t="str">
        <f>IF('PASTE RAW DATA HERE'!AJ$8=0, "", 'PASTE RAW DATA HERE'!AJ$8)</f>
        <v>Jan</v>
      </c>
      <c r="AI8" s="2" t="str">
        <f>IF('PASTE RAW DATA HERE'!AK$8=0, "", 'PASTE RAW DATA HERE'!AK$8)</f>
        <v>Feb</v>
      </c>
      <c r="AJ8" s="2" t="str">
        <f>IF('PASTE RAW DATA HERE'!AL$8=0, "", 'PASTE RAW DATA HERE'!AL$8)</f>
        <v>Feb</v>
      </c>
      <c r="AK8" s="2" t="str">
        <f>IF('PASTE RAW DATA HERE'!AM$8=0, "", 'PASTE RAW DATA HERE'!AM$8)</f>
        <v>Feb</v>
      </c>
      <c r="AL8" s="2" t="str">
        <f>IF('PASTE RAW DATA HERE'!AN$8=0, "", 'PASTE RAW DATA HERE'!AN$8)</f>
        <v>Feb</v>
      </c>
      <c r="AM8" s="2" t="str">
        <f>IF('PASTE RAW DATA HERE'!AO$8=0, "", 'PASTE RAW DATA HERE'!AO$8)</f>
        <v>Feb</v>
      </c>
      <c r="AN8" s="2" t="str">
        <f>IF('PASTE RAW DATA HERE'!AP$8=0, "", 'PASTE RAW DATA HERE'!AP$8)</f>
        <v>Feb</v>
      </c>
      <c r="AO8" s="2" t="str">
        <f>IF('PASTE RAW DATA HERE'!AQ$8=0, "", 'PASTE RAW DATA HERE'!AQ$8)</f>
        <v>Feb</v>
      </c>
      <c r="AP8" s="2" t="str">
        <f>IF('PASTE RAW DATA HERE'!AR$8=0, "", 'PASTE RAW DATA HERE'!AR$8)</f>
        <v>Feb</v>
      </c>
      <c r="AQ8" s="2" t="str">
        <f>IF('PASTE RAW DATA HERE'!AS$8=0, "", 'PASTE RAW DATA HERE'!AS$8)</f>
        <v>Feb</v>
      </c>
      <c r="AR8" s="2" t="str">
        <f>IF('PASTE RAW DATA HERE'!AT$8=0, "", 'PASTE RAW DATA HERE'!AT$8)</f>
        <v>Feb</v>
      </c>
      <c r="AS8" s="2" t="str">
        <f>IF('PASTE RAW DATA HERE'!AU$8=0, "", 'PASTE RAW DATA HERE'!AU$8)</f>
        <v>Feb</v>
      </c>
      <c r="AT8" s="2" t="str">
        <f>IF('PASTE RAW DATA HERE'!AV$8=0, "", 'PASTE RAW DATA HERE'!AV$8)</f>
        <v>Feb</v>
      </c>
      <c r="AU8" s="2" t="str">
        <f>IF('PASTE RAW DATA HERE'!AW$8=0, "", 'PASTE RAW DATA HERE'!AW$8)</f>
        <v>Feb</v>
      </c>
      <c r="AV8" s="2" t="str">
        <f>IF('PASTE RAW DATA HERE'!AX$8=0, "", 'PASTE RAW DATA HERE'!AX$8)</f>
        <v>Feb</v>
      </c>
      <c r="AW8" s="2" t="str">
        <f>IF('PASTE RAW DATA HERE'!AY$8=0, "", 'PASTE RAW DATA HERE'!AY$8)</f>
        <v>Feb</v>
      </c>
      <c r="AX8" s="2" t="str">
        <f>IF('PASTE RAW DATA HERE'!AZ$8=0, "", 'PASTE RAW DATA HERE'!AZ$8)</f>
        <v>Feb</v>
      </c>
      <c r="AY8" s="2" t="str">
        <f>IF('PASTE RAW DATA HERE'!BA$8=0, "", 'PASTE RAW DATA HERE'!BA$8)</f>
        <v>Feb</v>
      </c>
      <c r="AZ8" s="2" t="str">
        <f>IF('PASTE RAW DATA HERE'!BB$8=0, "", 'PASTE RAW DATA HERE'!BB$8)</f>
        <v>Feb</v>
      </c>
      <c r="BA8" s="2" t="str">
        <f>IF('PASTE RAW DATA HERE'!BC$8=0, "", 'PASTE RAW DATA HERE'!BC$8)</f>
        <v>Feb</v>
      </c>
      <c r="BB8" s="2" t="str">
        <f>IF('PASTE RAW DATA HERE'!BD$8=0, "", 'PASTE RAW DATA HERE'!BD$8)</f>
        <v>Feb</v>
      </c>
      <c r="BC8" s="2" t="str">
        <f>IF('PASTE RAW DATA HERE'!BE$8=0, "", 'PASTE RAW DATA HERE'!BE$8)</f>
        <v>Feb</v>
      </c>
      <c r="BD8" s="2" t="str">
        <f>IF('PASTE RAW DATA HERE'!BF$8=0, "", 'PASTE RAW DATA HERE'!BF$8)</f>
        <v>Feb</v>
      </c>
      <c r="BE8" s="2" t="str">
        <f>IF('PASTE RAW DATA HERE'!BG$8=0, "", 'PASTE RAW DATA HERE'!BG$8)</f>
        <v>Feb</v>
      </c>
      <c r="BF8" s="2" t="str">
        <f>IF('PASTE RAW DATA HERE'!BH$8=0, "", 'PASTE RAW DATA HERE'!BH$8)</f>
        <v>Feb</v>
      </c>
      <c r="BG8" s="2" t="str">
        <f>IF('PASTE RAW DATA HERE'!BI$8=0, "", 'PASTE RAW DATA HERE'!BI$8)</f>
        <v>Feb</v>
      </c>
      <c r="BH8" s="2" t="str">
        <f>IF('PASTE RAW DATA HERE'!BJ$8=0, "", 'PASTE RAW DATA HERE'!BJ$8)</f>
        <v>Feb</v>
      </c>
      <c r="BI8" s="2" t="str">
        <f>IF('PASTE RAW DATA HERE'!BK$8=0, "", 'PASTE RAW DATA HERE'!BK$8)</f>
        <v>Feb</v>
      </c>
      <c r="BJ8" s="2" t="str">
        <f>IF('PASTE RAW DATA HERE'!BL$8=0, "", 'PASTE RAW DATA HERE'!BL$8)</f>
        <v>Feb</v>
      </c>
      <c r="BK8" s="2" t="str">
        <f>IF('PASTE RAW DATA HERE'!BM$8=0, "", 'PASTE RAW DATA HERE'!BM$8)</f>
        <v>Mar</v>
      </c>
      <c r="BL8" s="2" t="str">
        <f>IF('PASTE RAW DATA HERE'!BN$8=0, "", 'PASTE RAW DATA HERE'!BN$8)</f>
        <v>Mar</v>
      </c>
      <c r="BM8" s="2" t="str">
        <f>IF('PASTE RAW DATA HERE'!BO$8=0, "", 'PASTE RAW DATA HERE'!BO$8)</f>
        <v>Mar</v>
      </c>
      <c r="BN8" s="2" t="str">
        <f>IF('PASTE RAW DATA HERE'!BP$8=0, "", 'PASTE RAW DATA HERE'!BP$8)</f>
        <v>Mar</v>
      </c>
      <c r="BO8" s="2" t="str">
        <f>IF('PASTE RAW DATA HERE'!BQ$8=0, "", 'PASTE RAW DATA HERE'!BQ$8)</f>
        <v>Mar</v>
      </c>
      <c r="BP8" s="2" t="str">
        <f>IF('PASTE RAW DATA HERE'!BR$8=0, "", 'PASTE RAW DATA HERE'!BR$8)</f>
        <v>Mar</v>
      </c>
      <c r="BQ8" s="2" t="str">
        <f>IF('PASTE RAW DATA HERE'!BS$8=0, "", 'PASTE RAW DATA HERE'!BS$8)</f>
        <v>Mar</v>
      </c>
      <c r="BR8" s="2" t="str">
        <f>IF('PASTE RAW DATA HERE'!BT$8=0, "", 'PASTE RAW DATA HERE'!BT$8)</f>
        <v>Mar</v>
      </c>
      <c r="BS8" s="2" t="str">
        <f>IF('PASTE RAW DATA HERE'!BU$8=0, "", 'PASTE RAW DATA HERE'!BU$8)</f>
        <v>Mar</v>
      </c>
      <c r="BT8" s="2" t="str">
        <f>IF('PASTE RAW DATA HERE'!BV$8=0, "", 'PASTE RAW DATA HERE'!BV$8)</f>
        <v>Mar</v>
      </c>
      <c r="BU8" s="2" t="str">
        <f>IF('PASTE RAW DATA HERE'!BW$8=0, "", 'PASTE RAW DATA HERE'!BW$8)</f>
        <v>Mar</v>
      </c>
      <c r="BV8" s="2" t="str">
        <f>IF('PASTE RAW DATA HERE'!BX$8=0, "", 'PASTE RAW DATA HERE'!BX$8)</f>
        <v>Mar</v>
      </c>
      <c r="BW8" s="2" t="str">
        <f>IF('PASTE RAW DATA HERE'!BY$8=0, "", 'PASTE RAW DATA HERE'!BY$8)</f>
        <v>Mar</v>
      </c>
      <c r="BX8" s="2" t="str">
        <f>IF('PASTE RAW DATA HERE'!BZ$8=0, "", 'PASTE RAW DATA HERE'!BZ$8)</f>
        <v>Mar</v>
      </c>
      <c r="BY8" s="2" t="str">
        <f>IF('PASTE RAW DATA HERE'!CA$8=0, "", 'PASTE RAW DATA HERE'!CA$8)</f>
        <v>Mar</v>
      </c>
      <c r="BZ8" s="2" t="str">
        <f>IF('PASTE RAW DATA HERE'!CB$8=0, "", 'PASTE RAW DATA HERE'!CB$8)</f>
        <v>Mar</v>
      </c>
      <c r="CA8" s="2" t="str">
        <f>IF('PASTE RAW DATA HERE'!CC$8=0, "", 'PASTE RAW DATA HERE'!CC$8)</f>
        <v>Mar</v>
      </c>
      <c r="CB8" s="2" t="str">
        <f>IF('PASTE RAW DATA HERE'!CD$8=0, "", 'PASTE RAW DATA HERE'!CD$8)</f>
        <v>Mar</v>
      </c>
      <c r="CC8" s="2" t="str">
        <f>IF('PASTE RAW DATA HERE'!CE$8=0, "", 'PASTE RAW DATA HERE'!CE$8)</f>
        <v>Mar</v>
      </c>
      <c r="CD8" s="2" t="str">
        <f>IF('PASTE RAW DATA HERE'!CF$8=0, "", 'PASTE RAW DATA HERE'!CF$8)</f>
        <v>Mar</v>
      </c>
      <c r="CE8" s="2" t="str">
        <f>IF('PASTE RAW DATA HERE'!CG$8=0, "", 'PASTE RAW DATA HERE'!CG$8)</f>
        <v>Mar</v>
      </c>
      <c r="CF8" s="2" t="str">
        <f>IF('PASTE RAW DATA HERE'!CH$8=0, "", 'PASTE RAW DATA HERE'!CH$8)</f>
        <v>Mar</v>
      </c>
      <c r="CG8" s="2" t="str">
        <f>IF('PASTE RAW DATA HERE'!CI$8=0, "", 'PASTE RAW DATA HERE'!CI$8)</f>
        <v>Mar</v>
      </c>
      <c r="CH8" s="2" t="str">
        <f>IF('PASTE RAW DATA HERE'!CJ$8=0, "", 'PASTE RAW DATA HERE'!CJ$8)</f>
        <v>Mar</v>
      </c>
      <c r="CI8" s="2" t="str">
        <f>IF('PASTE RAW DATA HERE'!CK$8=0, "", 'PASTE RAW DATA HERE'!CK$8)</f>
        <v>Mar</v>
      </c>
      <c r="CJ8" s="2" t="str">
        <f>IF('PASTE RAW DATA HERE'!CL$8=0, "", 'PASTE RAW DATA HERE'!CL$8)</f>
        <v>Mar</v>
      </c>
      <c r="CK8" s="2" t="str">
        <f>IF('PASTE RAW DATA HERE'!CM$8=0, "", 'PASTE RAW DATA HERE'!CM$8)</f>
        <v>Mar</v>
      </c>
      <c r="CL8" s="2" t="str">
        <f>IF('PASTE RAW DATA HERE'!CN$8=0, "", 'PASTE RAW DATA HERE'!CN$8)</f>
        <v>Mar</v>
      </c>
      <c r="CM8" s="2" t="str">
        <f>IF('PASTE RAW DATA HERE'!CO$8=0, "", 'PASTE RAW DATA HERE'!CO$8)</f>
        <v>Mar</v>
      </c>
      <c r="CN8" s="2" t="str">
        <f>IF('PASTE RAW DATA HERE'!CP$8=0, "", 'PASTE RAW DATA HERE'!CP$8)</f>
        <v>Mar</v>
      </c>
      <c r="CO8" s="2" t="str">
        <f>IF('PASTE RAW DATA HERE'!CQ$8=0, "", 'PASTE RAW DATA HERE'!CQ$8)</f>
        <v>Mar</v>
      </c>
      <c r="CP8" s="2" t="str">
        <f>IF('PASTE RAW DATA HERE'!CR$8=0, "", 'PASTE RAW DATA HERE'!CR$8)</f>
        <v>Apr</v>
      </c>
      <c r="CQ8" s="2" t="str">
        <f>IF('PASTE RAW DATA HERE'!CS$8=0, "", 'PASTE RAW DATA HERE'!CS$8)</f>
        <v>Apr</v>
      </c>
      <c r="CR8" s="2" t="str">
        <f>IF('PASTE RAW DATA HERE'!CT$8=0, "", 'PASTE RAW DATA HERE'!CT$8)</f>
        <v>Apr</v>
      </c>
      <c r="CS8" s="2" t="str">
        <f>IF('PASTE RAW DATA HERE'!CU$8=0, "", 'PASTE RAW DATA HERE'!CU$8)</f>
        <v>Apr</v>
      </c>
      <c r="CT8" s="2" t="str">
        <f>IF('PASTE RAW DATA HERE'!CV$8=0, "", 'PASTE RAW DATA HERE'!CV$8)</f>
        <v>Apr</v>
      </c>
      <c r="CU8" s="2" t="str">
        <f>IF('PASTE RAW DATA HERE'!CW$8=0, "", 'PASTE RAW DATA HERE'!CW$8)</f>
        <v>Apr</v>
      </c>
      <c r="CV8" s="2" t="str">
        <f>IF('PASTE RAW DATA HERE'!CX$8=0, "", 'PASTE RAW DATA HERE'!CX$8)</f>
        <v>Apr</v>
      </c>
      <c r="CW8" s="2" t="str">
        <f>IF('PASTE RAW DATA HERE'!CY$8=0, "", 'PASTE RAW DATA HERE'!CY$8)</f>
        <v>Apr</v>
      </c>
      <c r="CX8" s="2" t="str">
        <f>IF('PASTE RAW DATA HERE'!CZ$8=0, "", 'PASTE RAW DATA HERE'!CZ$8)</f>
        <v>Apr</v>
      </c>
      <c r="CY8" s="2" t="str">
        <f>IF('PASTE RAW DATA HERE'!DA$8=0, "", 'PASTE RAW DATA HERE'!DA$8)</f>
        <v>Apr</v>
      </c>
      <c r="CZ8" s="2" t="str">
        <f>IF('PASTE RAW DATA HERE'!DB$8=0, "", 'PASTE RAW DATA HERE'!DB$8)</f>
        <v>Apr</v>
      </c>
      <c r="DA8" s="2" t="str">
        <f>IF('PASTE RAW DATA HERE'!DC$8=0, "", 'PASTE RAW DATA HERE'!DC$8)</f>
        <v>Apr</v>
      </c>
      <c r="DB8" s="2" t="str">
        <f>IF('PASTE RAW DATA HERE'!DD$8=0, "", 'PASTE RAW DATA HERE'!DD$8)</f>
        <v>Apr</v>
      </c>
      <c r="DC8" s="2" t="str">
        <f>IF('PASTE RAW DATA HERE'!DE$8=0, "", 'PASTE RAW DATA HERE'!DE$8)</f>
        <v>Apr</v>
      </c>
      <c r="DD8" s="2" t="str">
        <f>IF('PASTE RAW DATA HERE'!DF$8=0, "", 'PASTE RAW DATA HERE'!DF$8)</f>
        <v>Apr</v>
      </c>
      <c r="DE8" s="2" t="str">
        <f>IF('PASTE RAW DATA HERE'!DG$8=0, "", 'PASTE RAW DATA HERE'!DG$8)</f>
        <v>Apr</v>
      </c>
      <c r="DF8" s="2" t="str">
        <f>IF('PASTE RAW DATA HERE'!DH$8=0, "", 'PASTE RAW DATA HERE'!DH$8)</f>
        <v>Apr</v>
      </c>
      <c r="DG8" s="2" t="str">
        <f>IF('PASTE RAW DATA HERE'!DI$8=0, "", 'PASTE RAW DATA HERE'!DI$8)</f>
        <v>Apr</v>
      </c>
      <c r="DH8" s="2" t="str">
        <f>IF('PASTE RAW DATA HERE'!DJ$8=0, "", 'PASTE RAW DATA HERE'!DJ$8)</f>
        <v>Apr</v>
      </c>
      <c r="DI8" s="2" t="str">
        <f>IF('PASTE RAW DATA HERE'!DK$8=0, "", 'PASTE RAW DATA HERE'!DK$8)</f>
        <v/>
      </c>
      <c r="DJ8" s="2" t="str">
        <f>IF('PASTE RAW DATA HERE'!DL$8=0, "", 'PASTE RAW DATA HERE'!DL$8)</f>
        <v/>
      </c>
      <c r="DK8" s="2" t="str">
        <f>IF('PASTE RAW DATA HERE'!DM$8=0, "", 'PASTE RAW DATA HERE'!DM$8)</f>
        <v/>
      </c>
      <c r="DL8" s="2" t="str">
        <f>IF('PASTE RAW DATA HERE'!DN$8=0, "", 'PASTE RAW DATA HERE'!DN$8)</f>
        <v/>
      </c>
      <c r="DM8" s="2" t="str">
        <f>IF('PASTE RAW DATA HERE'!DO$8=0, "", 'PASTE RAW DATA HERE'!DO$8)</f>
        <v/>
      </c>
      <c r="DN8" s="2" t="str">
        <f>IF('PASTE RAW DATA HERE'!DP$8=0, "", 'PASTE RAW DATA HERE'!DP$8)</f>
        <v/>
      </c>
      <c r="DO8" s="2" t="str">
        <f>IF('PASTE RAW DATA HERE'!DQ$8=0, "", 'PASTE RAW DATA HERE'!DQ$8)</f>
        <v/>
      </c>
      <c r="DP8" s="2" t="str">
        <f>IF('PASTE RAW DATA HERE'!DR$8=0, "", 'PASTE RAW DATA HERE'!DR$8)</f>
        <v/>
      </c>
      <c r="DQ8" s="2" t="str">
        <f>IF('PASTE RAW DATA HERE'!DS$8=0, "", 'PASTE RAW DATA HERE'!DS$8)</f>
        <v/>
      </c>
      <c r="DR8" s="2" t="str">
        <f>IF('PASTE RAW DATA HERE'!DT$8=0, "", 'PASTE RAW DATA HERE'!DT$8)</f>
        <v/>
      </c>
      <c r="DS8" s="2" t="str">
        <f>IF('PASTE RAW DATA HERE'!DU$8=0, "", 'PASTE RAW DATA HERE'!DU$8)</f>
        <v/>
      </c>
      <c r="DT8" s="2" t="str">
        <f>IF('PASTE RAW DATA HERE'!DV$8=0, "", 'PASTE RAW DATA HERE'!DV$8)</f>
        <v/>
      </c>
      <c r="DU8" s="2" t="str">
        <f>IF('PASTE RAW DATA HERE'!DW$8=0, "", 'PASTE RAW DATA HERE'!DW$8)</f>
        <v/>
      </c>
      <c r="DV8" s="2" t="str">
        <f>IF('PASTE RAW DATA HERE'!DX$8=0, "", 'PASTE RAW DATA HERE'!DX$8)</f>
        <v/>
      </c>
      <c r="DW8" s="2" t="str">
        <f>IF('PASTE RAW DATA HERE'!DY$8=0, "", 'PASTE RAW DATA HERE'!DY$8)</f>
        <v/>
      </c>
      <c r="DX8" s="2" t="str">
        <f>IF('PASTE RAW DATA HERE'!DZ$8=0, "", 'PASTE RAW DATA HERE'!DZ$8)</f>
        <v/>
      </c>
      <c r="DY8" s="2" t="str">
        <f>IF('PASTE RAW DATA HERE'!EA$8=0, "", 'PASTE RAW DATA HERE'!EA$8)</f>
        <v/>
      </c>
      <c r="DZ8" s="2" t="str">
        <f>IF('PASTE RAW DATA HERE'!EB$8=0, "", 'PASTE RAW DATA HERE'!EB$8)</f>
        <v/>
      </c>
      <c r="EA8" s="2" t="str">
        <f>IF('PASTE RAW DATA HERE'!EC$8=0, "", 'PASTE RAW DATA HERE'!EC$8)</f>
        <v/>
      </c>
      <c r="EB8" s="2" t="str">
        <f>IF('PASTE RAW DATA HERE'!ED$8=0, "", 'PASTE RAW DATA HERE'!ED$8)</f>
        <v/>
      </c>
      <c r="EC8" s="2" t="str">
        <f>IF('PASTE RAW DATA HERE'!EE$8=0, "", 'PASTE RAW DATA HERE'!EE$8)</f>
        <v/>
      </c>
      <c r="ED8" s="2" t="str">
        <f>IF('PASTE RAW DATA HERE'!EF$8=0, "", 'PASTE RAW DATA HERE'!EF$8)</f>
        <v/>
      </c>
      <c r="EE8" s="2" t="str">
        <f>IF('PASTE RAW DATA HERE'!EG$8=0, "", 'PASTE RAW DATA HERE'!EG$8)</f>
        <v/>
      </c>
      <c r="EF8" s="2" t="str">
        <f>IF('PASTE RAW DATA HERE'!EH$8=0, "", 'PASTE RAW DATA HERE'!EH$8)</f>
        <v/>
      </c>
      <c r="EG8" s="2" t="str">
        <f>IF('PASTE RAW DATA HERE'!EI$8=0, "", 'PASTE RAW DATA HERE'!EI$8)</f>
        <v/>
      </c>
      <c r="EH8" s="2" t="str">
        <f>IF('PASTE RAW DATA HERE'!EJ$8=0, "", 'PASTE RAW DATA HERE'!EJ$8)</f>
        <v/>
      </c>
      <c r="EI8" s="2" t="str">
        <f>IF('PASTE RAW DATA HERE'!EK$8=0, "", 'PASTE RAW DATA HERE'!EK$8)</f>
        <v/>
      </c>
      <c r="EJ8" s="2" t="str">
        <f>IF('PASTE RAW DATA HERE'!EL$8=0, "", 'PASTE RAW DATA HERE'!EL$8)</f>
        <v/>
      </c>
      <c r="EK8" s="2" t="str">
        <f>IF('PASTE RAW DATA HERE'!EM$8=0, "", 'PASTE RAW DATA HERE'!EM$8)</f>
        <v/>
      </c>
      <c r="EL8" s="2" t="str">
        <f>IF('PASTE RAW DATA HERE'!EN$8=0, "", 'PASTE RAW DATA HERE'!EN$8)</f>
        <v/>
      </c>
      <c r="EM8" s="2" t="str">
        <f>IF('PASTE RAW DATA HERE'!EO$8=0, "", 'PASTE RAW DATA HERE'!EO$8)</f>
        <v/>
      </c>
      <c r="EN8" s="2" t="str">
        <f>IF('PASTE RAW DATA HERE'!EP$8=0, "", 'PASTE RAW DATA HERE'!EP$8)</f>
        <v/>
      </c>
      <c r="EO8" s="2" t="str">
        <f>IF('PASTE RAW DATA HERE'!EQ$8=0, "", 'PASTE RAW DATA HERE'!EQ$8)</f>
        <v/>
      </c>
      <c r="EP8" s="2" t="str">
        <f>IF('PASTE RAW DATA HERE'!ER$8=0, "", 'PASTE RAW DATA HERE'!ER$8)</f>
        <v/>
      </c>
      <c r="EQ8" s="2" t="str">
        <f>IF('PASTE RAW DATA HERE'!ES$8=0, "", 'PASTE RAW DATA HERE'!ES$8)</f>
        <v/>
      </c>
      <c r="ER8" s="2" t="str">
        <f>IF('PASTE RAW DATA HERE'!ET$8=0, "", 'PASTE RAW DATA HERE'!ET$8)</f>
        <v/>
      </c>
      <c r="ES8" s="2" t="str">
        <f>IF('PASTE RAW DATA HERE'!EU$8=0, "", 'PASTE RAW DATA HERE'!EU$8)</f>
        <v/>
      </c>
      <c r="ET8" s="2" t="str">
        <f>IF('PASTE RAW DATA HERE'!EV$8=0, "", 'PASTE RAW DATA HERE'!EV$8)</f>
        <v/>
      </c>
      <c r="EU8" s="2" t="str">
        <f>IF('PASTE RAW DATA HERE'!EW$8=0, "", 'PASTE RAW DATA HERE'!EW$8)</f>
        <v/>
      </c>
      <c r="EV8" s="2" t="str">
        <f>IF('PASTE RAW DATA HERE'!EX$8=0, "", 'PASTE RAW DATA HERE'!EX$8)</f>
        <v/>
      </c>
      <c r="EW8" s="2" t="str">
        <f>IF('PASTE RAW DATA HERE'!EY$8=0, "", 'PASTE RAW DATA HERE'!EY$8)</f>
        <v/>
      </c>
      <c r="EX8" s="2" t="str">
        <f>IF('PASTE RAW DATA HERE'!EZ$8=0, "", 'PASTE RAW DATA HERE'!EZ$8)</f>
        <v/>
      </c>
      <c r="EY8" s="2" t="str">
        <f>IF('PASTE RAW DATA HERE'!FA$8=0, "", 'PASTE RAW DATA HERE'!FA$8)</f>
        <v/>
      </c>
      <c r="EZ8" s="2" t="str">
        <f>IF('PASTE RAW DATA HERE'!FB$8=0, "", 'PASTE RAW DATA HERE'!FB$8)</f>
        <v/>
      </c>
      <c r="FA8" s="2" t="str">
        <f>IF('PASTE RAW DATA HERE'!FC$8=0, "", 'PASTE RAW DATA HERE'!FC$8)</f>
        <v/>
      </c>
      <c r="FB8" s="2" t="str">
        <f>IF('PASTE RAW DATA HERE'!FD$8=0, "", 'PASTE RAW DATA HERE'!FD$8)</f>
        <v/>
      </c>
      <c r="FC8" s="2" t="str">
        <f>IF('PASTE RAW DATA HERE'!FE$8=0, "", 'PASTE RAW DATA HERE'!FE$8)</f>
        <v/>
      </c>
      <c r="FD8" s="2" t="str">
        <f>IF('PASTE RAW DATA HERE'!FF$8=0, "", 'PASTE RAW DATA HERE'!FF$8)</f>
        <v/>
      </c>
      <c r="FE8" s="2" t="str">
        <f>IF('PASTE RAW DATA HERE'!FG$8=0, "", 'PASTE RAW DATA HERE'!FG$8)</f>
        <v/>
      </c>
      <c r="FF8" s="2" t="str">
        <f>IF('PASTE RAW DATA HERE'!FH$8=0, "", 'PASTE RAW DATA HERE'!FH$8)</f>
        <v/>
      </c>
      <c r="FG8" s="2" t="str">
        <f>IF('PASTE RAW DATA HERE'!FI$8=0, "", 'PASTE RAW DATA HERE'!FI$8)</f>
        <v/>
      </c>
      <c r="FH8" s="2" t="str">
        <f>IF('PASTE RAW DATA HERE'!FJ$8=0, "", 'PASTE RAW DATA HERE'!FJ$8)</f>
        <v/>
      </c>
      <c r="FI8" s="2" t="str">
        <f>IF('PASTE RAW DATA HERE'!FK$8=0, "", 'PASTE RAW DATA HERE'!FK$8)</f>
        <v/>
      </c>
      <c r="FJ8" s="2" t="str">
        <f>IF('PASTE RAW DATA HERE'!FL$8=0, "", 'PASTE RAW DATA HERE'!FL$8)</f>
        <v/>
      </c>
      <c r="FK8" s="2" t="str">
        <f>IF('PASTE RAW DATA HERE'!FM$8=0, "", 'PASTE RAW DATA HERE'!FM$8)</f>
        <v/>
      </c>
      <c r="FL8" s="2" t="str">
        <f>IF('PASTE RAW DATA HERE'!FN$8=0, "", 'PASTE RAW DATA HERE'!FN$8)</f>
        <v/>
      </c>
      <c r="FM8" s="2" t="str">
        <f>IF('PASTE RAW DATA HERE'!FO$8=0, "", 'PASTE RAW DATA HERE'!FO$8)</f>
        <v/>
      </c>
      <c r="FN8" s="2" t="str">
        <f>IF('PASTE RAW DATA HERE'!FP$8=0, "", 'PASTE RAW DATA HERE'!FP$8)</f>
        <v/>
      </c>
      <c r="FO8" s="2" t="str">
        <f>IF('PASTE RAW DATA HERE'!FQ$8=0, "", 'PASTE RAW DATA HERE'!FQ$8)</f>
        <v/>
      </c>
      <c r="FP8" s="2" t="str">
        <f>IF('PASTE RAW DATA HERE'!FR$8=0, "", 'PASTE RAW DATA HERE'!FR$8)</f>
        <v/>
      </c>
      <c r="FQ8" s="2" t="str">
        <f>IF('PASTE RAW DATA HERE'!FS$8=0, "", 'PASTE RAW DATA HERE'!FS$8)</f>
        <v/>
      </c>
      <c r="FR8" s="2" t="str">
        <f>IF('PASTE RAW DATA HERE'!FT$8=0, "", 'PASTE RAW DATA HERE'!FT$8)</f>
        <v/>
      </c>
      <c r="FS8" s="2" t="str">
        <f>IF('PASTE RAW DATA HERE'!FU$8=0, "", 'PASTE RAW DATA HERE'!FU$8)</f>
        <v/>
      </c>
      <c r="FT8" s="2" t="str">
        <f>IF('PASTE RAW DATA HERE'!FV$8=0, "", 'PASTE RAW DATA HERE'!FV$8)</f>
        <v/>
      </c>
      <c r="FU8" s="2" t="str">
        <f>IF('PASTE RAW DATA HERE'!FW$8=0, "", 'PASTE RAW DATA HERE'!FW$8)</f>
        <v/>
      </c>
      <c r="FV8" s="2" t="str">
        <f>IF('PASTE RAW DATA HERE'!FX$8=0, "", 'PASTE RAW DATA HERE'!FX$8)</f>
        <v/>
      </c>
      <c r="FW8" s="2" t="str">
        <f>IF('PASTE RAW DATA HERE'!FY$8=0, "", 'PASTE RAW DATA HERE'!FY$8)</f>
        <v/>
      </c>
      <c r="FX8" s="2" t="str">
        <f>IF('PASTE RAW DATA HERE'!FZ$8=0, "", 'PASTE RAW DATA HERE'!FZ$8)</f>
        <v/>
      </c>
      <c r="FY8" s="2" t="str">
        <f>IF('PASTE RAW DATA HERE'!GA$8=0, "", 'PASTE RAW DATA HERE'!GA$8)</f>
        <v/>
      </c>
      <c r="FZ8" s="2" t="str">
        <f>IF('PASTE RAW DATA HERE'!GB$8=0, "", 'PASTE RAW DATA HERE'!GB$8)</f>
        <v/>
      </c>
      <c r="GA8" s="2" t="str">
        <f>IF('PASTE RAW DATA HERE'!GC$8=0, "", 'PASTE RAW DATA HERE'!GC$8)</f>
        <v/>
      </c>
      <c r="GB8" s="2" t="str">
        <f>IF('PASTE RAW DATA HERE'!GD$8=0, "", 'PASTE RAW DATA HERE'!GD$8)</f>
        <v/>
      </c>
      <c r="GC8" s="2" t="str">
        <f>IF('PASTE RAW DATA HERE'!GE$8=0, "", 'PASTE RAW DATA HERE'!GE$8)</f>
        <v/>
      </c>
      <c r="GD8" s="2" t="str">
        <f>IF('PASTE RAW DATA HERE'!GF$8=0, "", 'PASTE RAW DATA HERE'!GF$8)</f>
        <v/>
      </c>
      <c r="GE8" s="2" t="str">
        <f>IF('PASTE RAW DATA HERE'!GG$8=0, "", 'PASTE RAW DATA HERE'!GG$8)</f>
        <v/>
      </c>
      <c r="GF8" s="2" t="str">
        <f>IF('PASTE RAW DATA HERE'!GH$8=0, "", 'PASTE RAW DATA HERE'!GH$8)</f>
        <v/>
      </c>
      <c r="GG8" s="2" t="str">
        <f>IF('PASTE RAW DATA HERE'!GI$8=0, "", 'PASTE RAW DATA HERE'!GI$8)</f>
        <v/>
      </c>
    </row>
    <row r="9" spans="1:189" s="2" customFormat="1" ht="15" customHeight="1" x14ac:dyDescent="0.25">
      <c r="A9" s="2">
        <f>IF('PASTE RAW DATA HERE'!C$9=0, "", 'PASTE RAW DATA HERE'!C$9)</f>
        <v>29</v>
      </c>
      <c r="B9" s="2">
        <f>IF('PASTE RAW DATA HERE'!D$9=0, "", 'PASTE RAW DATA HERE'!D$9)</f>
        <v>30</v>
      </c>
      <c r="C9" s="2">
        <f>IF('PASTE RAW DATA HERE'!E$9=0, "", 'PASTE RAW DATA HERE'!E$9)</f>
        <v>31</v>
      </c>
      <c r="D9" s="2">
        <f>IF('PASTE RAW DATA HERE'!F$9=0, "", 'PASTE RAW DATA HERE'!F$9)</f>
        <v>1</v>
      </c>
      <c r="E9" s="2">
        <f>IF('PASTE RAW DATA HERE'!G$9=0, "", 'PASTE RAW DATA HERE'!G$9)</f>
        <v>2</v>
      </c>
      <c r="F9" s="2">
        <f>IF('PASTE RAW DATA HERE'!H$9=0, "", 'PASTE RAW DATA HERE'!H$9)</f>
        <v>3</v>
      </c>
      <c r="G9" s="2">
        <f>IF('PASTE RAW DATA HERE'!I$9=0, "", 'PASTE RAW DATA HERE'!I$9)</f>
        <v>4</v>
      </c>
      <c r="H9" s="2">
        <f>IF('PASTE RAW DATA HERE'!J$9=0, "", 'PASTE RAW DATA HERE'!J$9)</f>
        <v>5</v>
      </c>
      <c r="I9" s="2">
        <f>IF('PASTE RAW DATA HERE'!K$9=0, "", 'PASTE RAW DATA HERE'!K$9)</f>
        <v>6</v>
      </c>
      <c r="J9" s="2">
        <f>IF('PASTE RAW DATA HERE'!L$9=0, "", 'PASTE RAW DATA HERE'!L$9)</f>
        <v>7</v>
      </c>
      <c r="K9" s="2">
        <f>IF('PASTE RAW DATA HERE'!M$9=0, "", 'PASTE RAW DATA HERE'!M$9)</f>
        <v>8</v>
      </c>
      <c r="L9" s="2">
        <f>IF('PASTE RAW DATA HERE'!N$9=0, "", 'PASTE RAW DATA HERE'!N$9)</f>
        <v>9</v>
      </c>
      <c r="M9" s="2">
        <f>IF('PASTE RAW DATA HERE'!O$9=0, "", 'PASTE RAW DATA HERE'!O$9)</f>
        <v>10</v>
      </c>
      <c r="N9" s="2">
        <f>IF('PASTE RAW DATA HERE'!P$9=0, "", 'PASTE RAW DATA HERE'!P$9)</f>
        <v>11</v>
      </c>
      <c r="O9" s="2">
        <f>IF('PASTE RAW DATA HERE'!Q$9=0, "", 'PASTE RAW DATA HERE'!Q$9)</f>
        <v>12</v>
      </c>
      <c r="P9" s="2">
        <f>IF('PASTE RAW DATA HERE'!R$9=0, "", 'PASTE RAW DATA HERE'!R$9)</f>
        <v>13</v>
      </c>
      <c r="Q9" s="2">
        <f>IF('PASTE RAW DATA HERE'!S$9=0, "", 'PASTE RAW DATA HERE'!S$9)</f>
        <v>14</v>
      </c>
      <c r="R9" s="2">
        <f>IF('PASTE RAW DATA HERE'!T$9=0, "", 'PASTE RAW DATA HERE'!T$9)</f>
        <v>15</v>
      </c>
      <c r="S9" s="2">
        <f>IF('PASTE RAW DATA HERE'!U$9=0, "", 'PASTE RAW DATA HERE'!U$9)</f>
        <v>16</v>
      </c>
      <c r="T9" s="2">
        <f>IF('PASTE RAW DATA HERE'!V$9=0, "", 'PASTE RAW DATA HERE'!V$9)</f>
        <v>17</v>
      </c>
      <c r="U9" s="2">
        <f>IF('PASTE RAW DATA HERE'!W$9=0, "", 'PASTE RAW DATA HERE'!W$9)</f>
        <v>18</v>
      </c>
      <c r="V9" s="2">
        <f>IF('PASTE RAW DATA HERE'!X$9=0, "", 'PASTE RAW DATA HERE'!X$9)</f>
        <v>19</v>
      </c>
      <c r="W9" s="2">
        <f>IF('PASTE RAW DATA HERE'!Y$9=0, "", 'PASTE RAW DATA HERE'!Y$9)</f>
        <v>20</v>
      </c>
      <c r="X9" s="2">
        <f>IF('PASTE RAW DATA HERE'!Z$9=0, "", 'PASTE RAW DATA HERE'!Z$9)</f>
        <v>21</v>
      </c>
      <c r="Y9" s="2">
        <f>IF('PASTE RAW DATA HERE'!AA$9=0, "", 'PASTE RAW DATA HERE'!AA$9)</f>
        <v>22</v>
      </c>
      <c r="Z9" s="2">
        <f>IF('PASTE RAW DATA HERE'!AB$9=0, "", 'PASTE RAW DATA HERE'!AB$9)</f>
        <v>23</v>
      </c>
      <c r="AA9" s="2">
        <f>IF('PASTE RAW DATA HERE'!AC$9=0, "", 'PASTE RAW DATA HERE'!AC$9)</f>
        <v>24</v>
      </c>
      <c r="AB9" s="2">
        <f>IF('PASTE RAW DATA HERE'!AD$9=0, "", 'PASTE RAW DATA HERE'!AD$9)</f>
        <v>25</v>
      </c>
      <c r="AC9" s="2">
        <f>IF('PASTE RAW DATA HERE'!AE$9=0, "", 'PASTE RAW DATA HERE'!AE$9)</f>
        <v>26</v>
      </c>
      <c r="AD9" s="2">
        <f>IF('PASTE RAW DATA HERE'!AF$9=0, "", 'PASTE RAW DATA HERE'!AF$9)</f>
        <v>27</v>
      </c>
      <c r="AE9" s="2">
        <f>IF('PASTE RAW DATA HERE'!AG$9=0, "", 'PASTE RAW DATA HERE'!AG$9)</f>
        <v>28</v>
      </c>
      <c r="AF9" s="2">
        <f>IF('PASTE RAW DATA HERE'!AH$9=0, "", 'PASTE RAW DATA HERE'!AH$9)</f>
        <v>29</v>
      </c>
      <c r="AG9" s="2">
        <f>IF('PASTE RAW DATA HERE'!AI$9=0, "", 'PASTE RAW DATA HERE'!AI$9)</f>
        <v>30</v>
      </c>
      <c r="AH9" s="2">
        <f>IF('PASTE RAW DATA HERE'!AJ$9=0, "", 'PASTE RAW DATA HERE'!AJ$9)</f>
        <v>31</v>
      </c>
      <c r="AI9" s="2">
        <f>IF('PASTE RAW DATA HERE'!AK$9=0, "", 'PASTE RAW DATA HERE'!AK$9)</f>
        <v>1</v>
      </c>
      <c r="AJ9" s="2">
        <f>IF('PASTE RAW DATA HERE'!AL$9=0, "", 'PASTE RAW DATA HERE'!AL$9)</f>
        <v>2</v>
      </c>
      <c r="AK9" s="2">
        <f>IF('PASTE RAW DATA HERE'!AM$9=0, "", 'PASTE RAW DATA HERE'!AM$9)</f>
        <v>3</v>
      </c>
      <c r="AL9" s="2">
        <f>IF('PASTE RAW DATA HERE'!AN$9=0, "", 'PASTE RAW DATA HERE'!AN$9)</f>
        <v>4</v>
      </c>
      <c r="AM9" s="2">
        <f>IF('PASTE RAW DATA HERE'!AO$9=0, "", 'PASTE RAW DATA HERE'!AO$9)</f>
        <v>5</v>
      </c>
      <c r="AN9" s="2">
        <f>IF('PASTE RAW DATA HERE'!AP$9=0, "", 'PASTE RAW DATA HERE'!AP$9)</f>
        <v>6</v>
      </c>
      <c r="AO9" s="2">
        <f>IF('PASTE RAW DATA HERE'!AQ$9=0, "", 'PASTE RAW DATA HERE'!AQ$9)</f>
        <v>7</v>
      </c>
      <c r="AP9" s="2">
        <f>IF('PASTE RAW DATA HERE'!AR$9=0, "", 'PASTE RAW DATA HERE'!AR$9)</f>
        <v>8</v>
      </c>
      <c r="AQ9" s="2">
        <f>IF('PASTE RAW DATA HERE'!AS$9=0, "", 'PASTE RAW DATA HERE'!AS$9)</f>
        <v>9</v>
      </c>
      <c r="AR9" s="2">
        <f>IF('PASTE RAW DATA HERE'!AT$9=0, "", 'PASTE RAW DATA HERE'!AT$9)</f>
        <v>10</v>
      </c>
      <c r="AS9" s="2">
        <f>IF('PASTE RAW DATA HERE'!AU$9=0, "", 'PASTE RAW DATA HERE'!AU$9)</f>
        <v>11</v>
      </c>
      <c r="AT9" s="2">
        <f>IF('PASTE RAW DATA HERE'!AV$9=0, "", 'PASTE RAW DATA HERE'!AV$9)</f>
        <v>12</v>
      </c>
      <c r="AU9" s="2">
        <f>IF('PASTE RAW DATA HERE'!AW$9=0, "", 'PASTE RAW DATA HERE'!AW$9)</f>
        <v>13</v>
      </c>
      <c r="AV9" s="2">
        <f>IF('PASTE RAW DATA HERE'!AX$9=0, "", 'PASTE RAW DATA HERE'!AX$9)</f>
        <v>14</v>
      </c>
      <c r="AW9" s="2">
        <f>IF('PASTE RAW DATA HERE'!AY$9=0, "", 'PASTE RAW DATA HERE'!AY$9)</f>
        <v>15</v>
      </c>
      <c r="AX9" s="2">
        <f>IF('PASTE RAW DATA HERE'!AZ$9=0, "", 'PASTE RAW DATA HERE'!AZ$9)</f>
        <v>16</v>
      </c>
      <c r="AY9" s="2">
        <f>IF('PASTE RAW DATA HERE'!BA$9=0, "", 'PASTE RAW DATA HERE'!BA$9)</f>
        <v>17</v>
      </c>
      <c r="AZ9" s="2">
        <f>IF('PASTE RAW DATA HERE'!BB$9=0, "", 'PASTE RAW DATA HERE'!BB$9)</f>
        <v>18</v>
      </c>
      <c r="BA9" s="2">
        <f>IF('PASTE RAW DATA HERE'!BC$9=0, "", 'PASTE RAW DATA HERE'!BC$9)</f>
        <v>19</v>
      </c>
      <c r="BB9" s="2">
        <f>IF('PASTE RAW DATA HERE'!BD$9=0, "", 'PASTE RAW DATA HERE'!BD$9)</f>
        <v>20</v>
      </c>
      <c r="BC9" s="2">
        <f>IF('PASTE RAW DATA HERE'!BE$9=0, "", 'PASTE RAW DATA HERE'!BE$9)</f>
        <v>21</v>
      </c>
      <c r="BD9" s="2">
        <f>IF('PASTE RAW DATA HERE'!BF$9=0, "", 'PASTE RAW DATA HERE'!BF$9)</f>
        <v>22</v>
      </c>
      <c r="BE9" s="2">
        <f>IF('PASTE RAW DATA HERE'!BG$9=0, "", 'PASTE RAW DATA HERE'!BG$9)</f>
        <v>23</v>
      </c>
      <c r="BF9" s="2">
        <f>IF('PASTE RAW DATA HERE'!BH$9=0, "", 'PASTE RAW DATA HERE'!BH$9)</f>
        <v>24</v>
      </c>
      <c r="BG9" s="2">
        <f>IF('PASTE RAW DATA HERE'!BI$9=0, "", 'PASTE RAW DATA HERE'!BI$9)</f>
        <v>25</v>
      </c>
      <c r="BH9" s="2">
        <f>IF('PASTE RAW DATA HERE'!BJ$9=0, "", 'PASTE RAW DATA HERE'!BJ$9)</f>
        <v>26</v>
      </c>
      <c r="BI9" s="2">
        <f>IF('PASTE RAW DATA HERE'!BK$9=0, "", 'PASTE RAW DATA HERE'!BK$9)</f>
        <v>27</v>
      </c>
      <c r="BJ9" s="2">
        <f>IF('PASTE RAW DATA HERE'!BL$9=0, "", 'PASTE RAW DATA HERE'!BL$9)</f>
        <v>28</v>
      </c>
      <c r="BK9" s="2">
        <f>IF('PASTE RAW DATA HERE'!BM$9=0, "", 'PASTE RAW DATA HERE'!BM$9)</f>
        <v>1</v>
      </c>
      <c r="BL9" s="2">
        <f>IF('PASTE RAW DATA HERE'!BN$9=0, "", 'PASTE RAW DATA HERE'!BN$9)</f>
        <v>2</v>
      </c>
      <c r="BM9" s="2">
        <f>IF('PASTE RAW DATA HERE'!BO$9=0, "", 'PASTE RAW DATA HERE'!BO$9)</f>
        <v>3</v>
      </c>
      <c r="BN9" s="2">
        <f>IF('PASTE RAW DATA HERE'!BP$9=0, "", 'PASTE RAW DATA HERE'!BP$9)</f>
        <v>4</v>
      </c>
      <c r="BO9" s="2">
        <f>IF('PASTE RAW DATA HERE'!BQ$9=0, "", 'PASTE RAW DATA HERE'!BQ$9)</f>
        <v>5</v>
      </c>
      <c r="BP9" s="2">
        <f>IF('PASTE RAW DATA HERE'!BR$9=0, "", 'PASTE RAW DATA HERE'!BR$9)</f>
        <v>6</v>
      </c>
      <c r="BQ9" s="2">
        <f>IF('PASTE RAW DATA HERE'!BS$9=0, "", 'PASTE RAW DATA HERE'!BS$9)</f>
        <v>7</v>
      </c>
      <c r="BR9" s="2">
        <f>IF('PASTE RAW DATA HERE'!BT$9=0, "", 'PASTE RAW DATA HERE'!BT$9)</f>
        <v>8</v>
      </c>
      <c r="BS9" s="2">
        <f>IF('PASTE RAW DATA HERE'!BU$9=0, "", 'PASTE RAW DATA HERE'!BU$9)</f>
        <v>9</v>
      </c>
      <c r="BT9" s="2">
        <f>IF('PASTE RAW DATA HERE'!BV$9=0, "", 'PASTE RAW DATA HERE'!BV$9)</f>
        <v>10</v>
      </c>
      <c r="BU9" s="2">
        <f>IF('PASTE RAW DATA HERE'!BW$9=0, "", 'PASTE RAW DATA HERE'!BW$9)</f>
        <v>11</v>
      </c>
      <c r="BV9" s="2">
        <f>IF('PASTE RAW DATA HERE'!BX$9=0, "", 'PASTE RAW DATA HERE'!BX$9)</f>
        <v>12</v>
      </c>
      <c r="BW9" s="2">
        <f>IF('PASTE RAW DATA HERE'!BY$9=0, "", 'PASTE RAW DATA HERE'!BY$9)</f>
        <v>13</v>
      </c>
      <c r="BX9" s="2">
        <f>IF('PASTE RAW DATA HERE'!BZ$9=0, "", 'PASTE RAW DATA HERE'!BZ$9)</f>
        <v>14</v>
      </c>
      <c r="BY9" s="2">
        <f>IF('PASTE RAW DATA HERE'!CA$9=0, "", 'PASTE RAW DATA HERE'!CA$9)</f>
        <v>15</v>
      </c>
      <c r="BZ9" s="2">
        <f>IF('PASTE RAW DATA HERE'!CB$9=0, "", 'PASTE RAW DATA HERE'!CB$9)</f>
        <v>16</v>
      </c>
      <c r="CA9" s="2">
        <f>IF('PASTE RAW DATA HERE'!CC$9=0, "", 'PASTE RAW DATA HERE'!CC$9)</f>
        <v>17</v>
      </c>
      <c r="CB9" s="2">
        <f>IF('PASTE RAW DATA HERE'!CD$9=0, "", 'PASTE RAW DATA HERE'!CD$9)</f>
        <v>18</v>
      </c>
      <c r="CC9" s="2">
        <f>IF('PASTE RAW DATA HERE'!CE$9=0, "", 'PASTE RAW DATA HERE'!CE$9)</f>
        <v>19</v>
      </c>
      <c r="CD9" s="2">
        <f>IF('PASTE RAW DATA HERE'!CF$9=0, "", 'PASTE RAW DATA HERE'!CF$9)</f>
        <v>20</v>
      </c>
      <c r="CE9" s="2">
        <f>IF('PASTE RAW DATA HERE'!CG$9=0, "", 'PASTE RAW DATA HERE'!CG$9)</f>
        <v>21</v>
      </c>
      <c r="CF9" s="2">
        <f>IF('PASTE RAW DATA HERE'!CH$9=0, "", 'PASTE RAW DATA HERE'!CH$9)</f>
        <v>22</v>
      </c>
      <c r="CG9" s="2">
        <f>IF('PASTE RAW DATA HERE'!CI$9=0, "", 'PASTE RAW DATA HERE'!CI$9)</f>
        <v>23</v>
      </c>
      <c r="CH9" s="2">
        <f>IF('PASTE RAW DATA HERE'!CJ$9=0, "", 'PASTE RAW DATA HERE'!CJ$9)</f>
        <v>24</v>
      </c>
      <c r="CI9" s="2">
        <f>IF('PASTE RAW DATA HERE'!CK$9=0, "", 'PASTE RAW DATA HERE'!CK$9)</f>
        <v>25</v>
      </c>
      <c r="CJ9" s="2">
        <f>IF('PASTE RAW DATA HERE'!CL$9=0, "", 'PASTE RAW DATA HERE'!CL$9)</f>
        <v>26</v>
      </c>
      <c r="CK9" s="2">
        <f>IF('PASTE RAW DATA HERE'!CM$9=0, "", 'PASTE RAW DATA HERE'!CM$9)</f>
        <v>27</v>
      </c>
      <c r="CL9" s="2">
        <f>IF('PASTE RAW DATA HERE'!CN$9=0, "", 'PASTE RAW DATA HERE'!CN$9)</f>
        <v>28</v>
      </c>
      <c r="CM9" s="2">
        <f>IF('PASTE RAW DATA HERE'!CO$9=0, "", 'PASTE RAW DATA HERE'!CO$9)</f>
        <v>29</v>
      </c>
      <c r="CN9" s="2">
        <f>IF('PASTE RAW DATA HERE'!CP$9=0, "", 'PASTE RAW DATA HERE'!CP$9)</f>
        <v>30</v>
      </c>
      <c r="CO9" s="2">
        <f>IF('PASTE RAW DATA HERE'!CQ$9=0, "", 'PASTE RAW DATA HERE'!CQ$9)</f>
        <v>31</v>
      </c>
      <c r="CP9" s="2">
        <f>IF('PASTE RAW DATA HERE'!CR$9=0, "", 'PASTE RAW DATA HERE'!CR$9)</f>
        <v>1</v>
      </c>
      <c r="CQ9" s="2">
        <f>IF('PASTE RAW DATA HERE'!CS$9=0, "", 'PASTE RAW DATA HERE'!CS$9)</f>
        <v>2</v>
      </c>
      <c r="CR9" s="2">
        <f>IF('PASTE RAW DATA HERE'!CT$9=0, "", 'PASTE RAW DATA HERE'!CT$9)</f>
        <v>3</v>
      </c>
      <c r="CS9" s="2">
        <f>IF('PASTE RAW DATA HERE'!CU$9=0, "", 'PASTE RAW DATA HERE'!CU$9)</f>
        <v>4</v>
      </c>
      <c r="CT9" s="2">
        <f>IF('PASTE RAW DATA HERE'!CV$9=0, "", 'PASTE RAW DATA HERE'!CV$9)</f>
        <v>5</v>
      </c>
      <c r="CU9" s="2">
        <f>IF('PASTE RAW DATA HERE'!CW$9=0, "", 'PASTE RAW DATA HERE'!CW$9)</f>
        <v>6</v>
      </c>
      <c r="CV9" s="2">
        <f>IF('PASTE RAW DATA HERE'!CX$9=0, "", 'PASTE RAW DATA HERE'!CX$9)</f>
        <v>7</v>
      </c>
      <c r="CW9" s="2">
        <f>IF('PASTE RAW DATA HERE'!CY$9=0, "", 'PASTE RAW DATA HERE'!CY$9)</f>
        <v>8</v>
      </c>
      <c r="CX9" s="2">
        <f>IF('PASTE RAW DATA HERE'!CZ$9=0, "", 'PASTE RAW DATA HERE'!CZ$9)</f>
        <v>9</v>
      </c>
      <c r="CY9" s="2">
        <f>IF('PASTE RAW DATA HERE'!DA$9=0, "", 'PASTE RAW DATA HERE'!DA$9)</f>
        <v>10</v>
      </c>
      <c r="CZ9" s="2">
        <f>IF('PASTE RAW DATA HERE'!DB$9=0, "", 'PASTE RAW DATA HERE'!DB$9)</f>
        <v>11</v>
      </c>
      <c r="DA9" s="2">
        <f>IF('PASTE RAW DATA HERE'!DC$9=0, "", 'PASTE RAW DATA HERE'!DC$9)</f>
        <v>12</v>
      </c>
      <c r="DB9" s="2">
        <f>IF('PASTE RAW DATA HERE'!DD$9=0, "", 'PASTE RAW DATA HERE'!DD$9)</f>
        <v>13</v>
      </c>
      <c r="DC9" s="2">
        <f>IF('PASTE RAW DATA HERE'!DE$9=0, "", 'PASTE RAW DATA HERE'!DE$9)</f>
        <v>14</v>
      </c>
      <c r="DD9" s="2">
        <f>IF('PASTE RAW DATA HERE'!DF$9=0, "", 'PASTE RAW DATA HERE'!DF$9)</f>
        <v>15</v>
      </c>
      <c r="DE9" s="2">
        <f>IF('PASTE RAW DATA HERE'!DG$9=0, "", 'PASTE RAW DATA HERE'!DG$9)</f>
        <v>16</v>
      </c>
      <c r="DF9" s="2">
        <f>IF('PASTE RAW DATA HERE'!DH$9=0, "", 'PASTE RAW DATA HERE'!DH$9)</f>
        <v>17</v>
      </c>
      <c r="DG9" s="2">
        <f>IF('PASTE RAW DATA HERE'!DI$9=0, "", 'PASTE RAW DATA HERE'!DI$9)</f>
        <v>18</v>
      </c>
      <c r="DH9" s="2">
        <f>IF('PASTE RAW DATA HERE'!DJ$9=0, "", 'PASTE RAW DATA HERE'!DJ$9)</f>
        <v>19</v>
      </c>
      <c r="DI9" s="2" t="str">
        <f>IF('PASTE RAW DATA HERE'!DK$9=0, "", 'PASTE RAW DATA HERE'!DK$9)</f>
        <v/>
      </c>
      <c r="DJ9" s="2" t="str">
        <f>IF('PASTE RAW DATA HERE'!DL$9=0, "", 'PASTE RAW DATA HERE'!DL$9)</f>
        <v/>
      </c>
      <c r="DK9" s="2" t="str">
        <f>IF('PASTE RAW DATA HERE'!DM$9=0, "", 'PASTE RAW DATA HERE'!DM$9)</f>
        <v/>
      </c>
      <c r="DL9" s="2" t="str">
        <f>IF('PASTE RAW DATA HERE'!DN$9=0, "", 'PASTE RAW DATA HERE'!DN$9)</f>
        <v/>
      </c>
      <c r="DM9" s="2" t="str">
        <f>IF('PASTE RAW DATA HERE'!DO$9=0, "", 'PASTE RAW DATA HERE'!DO$9)</f>
        <v/>
      </c>
      <c r="DN9" s="2" t="str">
        <f>IF('PASTE RAW DATA HERE'!DP$9=0, "", 'PASTE RAW DATA HERE'!DP$9)</f>
        <v/>
      </c>
      <c r="DO9" s="2" t="str">
        <f>IF('PASTE RAW DATA HERE'!DQ$9=0, "", 'PASTE RAW DATA HERE'!DQ$9)</f>
        <v/>
      </c>
      <c r="DP9" s="2" t="str">
        <f>IF('PASTE RAW DATA HERE'!DR$9=0, "", 'PASTE RAW DATA HERE'!DR$9)</f>
        <v/>
      </c>
      <c r="DQ9" s="2" t="str">
        <f>IF('PASTE RAW DATA HERE'!DS$9=0, "", 'PASTE RAW DATA HERE'!DS$9)</f>
        <v/>
      </c>
      <c r="DR9" s="2" t="str">
        <f>IF('PASTE RAW DATA HERE'!DT$9=0, "", 'PASTE RAW DATA HERE'!DT$9)</f>
        <v/>
      </c>
      <c r="DS9" s="2" t="str">
        <f>IF('PASTE RAW DATA HERE'!DU$9=0, "", 'PASTE RAW DATA HERE'!DU$9)</f>
        <v/>
      </c>
      <c r="DT9" s="2" t="str">
        <f>IF('PASTE RAW DATA HERE'!DV$9=0, "", 'PASTE RAW DATA HERE'!DV$9)</f>
        <v/>
      </c>
      <c r="DU9" s="2" t="str">
        <f>IF('PASTE RAW DATA HERE'!DW$9=0, "", 'PASTE RAW DATA HERE'!DW$9)</f>
        <v/>
      </c>
      <c r="DV9" s="2" t="str">
        <f>IF('PASTE RAW DATA HERE'!DX$9=0, "", 'PASTE RAW DATA HERE'!DX$9)</f>
        <v/>
      </c>
      <c r="DW9" s="2" t="str">
        <f>IF('PASTE RAW DATA HERE'!DY$9=0, "", 'PASTE RAW DATA HERE'!DY$9)</f>
        <v/>
      </c>
      <c r="DX9" s="2" t="str">
        <f>IF('PASTE RAW DATA HERE'!DZ$9=0, "", 'PASTE RAW DATA HERE'!DZ$9)</f>
        <v/>
      </c>
      <c r="DY9" s="2" t="str">
        <f>IF('PASTE RAW DATA HERE'!EA$9=0, "", 'PASTE RAW DATA HERE'!EA$9)</f>
        <v/>
      </c>
      <c r="DZ9" s="2" t="str">
        <f>IF('PASTE RAW DATA HERE'!EB$9=0, "", 'PASTE RAW DATA HERE'!EB$9)</f>
        <v/>
      </c>
      <c r="EA9" s="2" t="str">
        <f>IF('PASTE RAW DATA HERE'!EC$9=0, "", 'PASTE RAW DATA HERE'!EC$9)</f>
        <v/>
      </c>
      <c r="EB9" s="2" t="str">
        <f>IF('PASTE RAW DATA HERE'!ED$9=0, "", 'PASTE RAW DATA HERE'!ED$9)</f>
        <v/>
      </c>
      <c r="EC9" s="2" t="str">
        <f>IF('PASTE RAW DATA HERE'!EE$9=0, "", 'PASTE RAW DATA HERE'!EE$9)</f>
        <v/>
      </c>
      <c r="ED9" s="2" t="str">
        <f>IF('PASTE RAW DATA HERE'!EF$9=0, "", 'PASTE RAW DATA HERE'!EF$9)</f>
        <v/>
      </c>
      <c r="EE9" s="2" t="str">
        <f>IF('PASTE RAW DATA HERE'!EG$9=0, "", 'PASTE RAW DATA HERE'!EG$9)</f>
        <v/>
      </c>
      <c r="EF9" s="2" t="str">
        <f>IF('PASTE RAW DATA HERE'!EH$9=0, "", 'PASTE RAW DATA HERE'!EH$9)</f>
        <v/>
      </c>
      <c r="EG9" s="2" t="str">
        <f>IF('PASTE RAW DATA HERE'!EI$9=0, "", 'PASTE RAW DATA HERE'!EI$9)</f>
        <v/>
      </c>
      <c r="EH9" s="2" t="str">
        <f>IF('PASTE RAW DATA HERE'!EJ$9=0, "", 'PASTE RAW DATA HERE'!EJ$9)</f>
        <v/>
      </c>
      <c r="EI9" s="2" t="str">
        <f>IF('PASTE RAW DATA HERE'!EK$9=0, "", 'PASTE RAW DATA HERE'!EK$9)</f>
        <v/>
      </c>
      <c r="EJ9" s="2" t="str">
        <f>IF('PASTE RAW DATA HERE'!EL$9=0, "", 'PASTE RAW DATA HERE'!EL$9)</f>
        <v/>
      </c>
      <c r="EK9" s="2" t="str">
        <f>IF('PASTE RAW DATA HERE'!EM$9=0, "", 'PASTE RAW DATA HERE'!EM$9)</f>
        <v/>
      </c>
      <c r="EL9" s="2" t="str">
        <f>IF('PASTE RAW DATA HERE'!EN$9=0, "", 'PASTE RAW DATA HERE'!EN$9)</f>
        <v/>
      </c>
      <c r="EM9" s="2" t="str">
        <f>IF('PASTE RAW DATA HERE'!EO$9=0, "", 'PASTE RAW DATA HERE'!EO$9)</f>
        <v/>
      </c>
      <c r="EN9" s="2" t="str">
        <f>IF('PASTE RAW DATA HERE'!EP$9=0, "", 'PASTE RAW DATA HERE'!EP$9)</f>
        <v/>
      </c>
      <c r="EO9" s="2" t="str">
        <f>IF('PASTE RAW DATA HERE'!EQ$9=0, "", 'PASTE RAW DATA HERE'!EQ$9)</f>
        <v/>
      </c>
      <c r="EP9" s="2" t="str">
        <f>IF('PASTE RAW DATA HERE'!ER$9=0, "", 'PASTE RAW DATA HERE'!ER$9)</f>
        <v/>
      </c>
      <c r="EQ9" s="2" t="str">
        <f>IF('PASTE RAW DATA HERE'!ES$9=0, "", 'PASTE RAW DATA HERE'!ES$9)</f>
        <v/>
      </c>
      <c r="ER9" s="2" t="str">
        <f>IF('PASTE RAW DATA HERE'!ET$9=0, "", 'PASTE RAW DATA HERE'!ET$9)</f>
        <v/>
      </c>
      <c r="ES9" s="2" t="str">
        <f>IF('PASTE RAW DATA HERE'!EU$9=0, "", 'PASTE RAW DATA HERE'!EU$9)</f>
        <v/>
      </c>
      <c r="ET9" s="2" t="str">
        <f>IF('PASTE RAW DATA HERE'!EV$9=0, "", 'PASTE RAW DATA HERE'!EV$9)</f>
        <v/>
      </c>
      <c r="EU9" s="2" t="str">
        <f>IF('PASTE RAW DATA HERE'!EW$9=0, "", 'PASTE RAW DATA HERE'!EW$9)</f>
        <v/>
      </c>
      <c r="EV9" s="2" t="str">
        <f>IF('PASTE RAW DATA HERE'!EX$9=0, "", 'PASTE RAW DATA HERE'!EX$9)</f>
        <v/>
      </c>
      <c r="EW9" s="2" t="str">
        <f>IF('PASTE RAW DATA HERE'!EY$9=0, "", 'PASTE RAW DATA HERE'!EY$9)</f>
        <v/>
      </c>
      <c r="EX9" s="2" t="str">
        <f>IF('PASTE RAW DATA HERE'!EZ$9=0, "", 'PASTE RAW DATA HERE'!EZ$9)</f>
        <v/>
      </c>
      <c r="EY9" s="2" t="str">
        <f>IF('PASTE RAW DATA HERE'!FA$9=0, "", 'PASTE RAW DATA HERE'!FA$9)</f>
        <v/>
      </c>
      <c r="EZ9" s="2" t="str">
        <f>IF('PASTE RAW DATA HERE'!FB$9=0, "", 'PASTE RAW DATA HERE'!FB$9)</f>
        <v/>
      </c>
      <c r="FA9" s="2" t="str">
        <f>IF('PASTE RAW DATA HERE'!FC$9=0, "", 'PASTE RAW DATA HERE'!FC$9)</f>
        <v/>
      </c>
      <c r="FB9" s="2" t="str">
        <f>IF('PASTE RAW DATA HERE'!FD$9=0, "", 'PASTE RAW DATA HERE'!FD$9)</f>
        <v/>
      </c>
      <c r="FC9" s="2" t="str">
        <f>IF('PASTE RAW DATA HERE'!FE$9=0, "", 'PASTE RAW DATA HERE'!FE$9)</f>
        <v/>
      </c>
      <c r="FD9" s="2" t="str">
        <f>IF('PASTE RAW DATA HERE'!FF$9=0, "", 'PASTE RAW DATA HERE'!FF$9)</f>
        <v/>
      </c>
      <c r="FE9" s="2" t="str">
        <f>IF('PASTE RAW DATA HERE'!FG$9=0, "", 'PASTE RAW DATA HERE'!FG$9)</f>
        <v/>
      </c>
      <c r="FF9" s="2" t="str">
        <f>IF('PASTE RAW DATA HERE'!FH$9=0, "", 'PASTE RAW DATA HERE'!FH$9)</f>
        <v/>
      </c>
      <c r="FG9" s="2" t="str">
        <f>IF('PASTE RAW DATA HERE'!FI$9=0, "", 'PASTE RAW DATA HERE'!FI$9)</f>
        <v/>
      </c>
      <c r="FH9" s="2" t="str">
        <f>IF('PASTE RAW DATA HERE'!FJ$9=0, "", 'PASTE RAW DATA HERE'!FJ$9)</f>
        <v/>
      </c>
      <c r="FI9" s="2" t="str">
        <f>IF('PASTE RAW DATA HERE'!FK$9=0, "", 'PASTE RAW DATA HERE'!FK$9)</f>
        <v/>
      </c>
      <c r="FJ9" s="2" t="str">
        <f>IF('PASTE RAW DATA HERE'!FL$9=0, "", 'PASTE RAW DATA HERE'!FL$9)</f>
        <v/>
      </c>
      <c r="FK9" s="2" t="str">
        <f>IF('PASTE RAW DATA HERE'!FM$9=0, "", 'PASTE RAW DATA HERE'!FM$9)</f>
        <v/>
      </c>
      <c r="FL9" s="2" t="str">
        <f>IF('PASTE RAW DATA HERE'!FN$9=0, "", 'PASTE RAW DATA HERE'!FN$9)</f>
        <v/>
      </c>
      <c r="FM9" s="2" t="str">
        <f>IF('PASTE RAW DATA HERE'!FO$9=0, "", 'PASTE RAW DATA HERE'!FO$9)</f>
        <v/>
      </c>
      <c r="FN9" s="2" t="str">
        <f>IF('PASTE RAW DATA HERE'!FP$9=0, "", 'PASTE RAW DATA HERE'!FP$9)</f>
        <v/>
      </c>
      <c r="FO9" s="2" t="str">
        <f>IF('PASTE RAW DATA HERE'!FQ$9=0, "", 'PASTE RAW DATA HERE'!FQ$9)</f>
        <v/>
      </c>
      <c r="FP9" s="2" t="str">
        <f>IF('PASTE RAW DATA HERE'!FR$9=0, "", 'PASTE RAW DATA HERE'!FR$9)</f>
        <v/>
      </c>
      <c r="FQ9" s="2" t="str">
        <f>IF('PASTE RAW DATA HERE'!FS$9=0, "", 'PASTE RAW DATA HERE'!FS$9)</f>
        <v/>
      </c>
      <c r="FR9" s="2" t="str">
        <f>IF('PASTE RAW DATA HERE'!FT$9=0, "", 'PASTE RAW DATA HERE'!FT$9)</f>
        <v/>
      </c>
      <c r="FS9" s="2" t="str">
        <f>IF('PASTE RAW DATA HERE'!FU$9=0, "", 'PASTE RAW DATA HERE'!FU$9)</f>
        <v/>
      </c>
      <c r="FT9" s="2" t="str">
        <f>IF('PASTE RAW DATA HERE'!FV$9=0, "", 'PASTE RAW DATA HERE'!FV$9)</f>
        <v/>
      </c>
      <c r="FU9" s="2" t="str">
        <f>IF('PASTE RAW DATA HERE'!FW$9=0, "", 'PASTE RAW DATA HERE'!FW$9)</f>
        <v/>
      </c>
      <c r="FV9" s="2" t="str">
        <f>IF('PASTE RAW DATA HERE'!FX$9=0, "", 'PASTE RAW DATA HERE'!FX$9)</f>
        <v/>
      </c>
      <c r="FW9" s="2" t="str">
        <f>IF('PASTE RAW DATA HERE'!FY$9=0, "", 'PASTE RAW DATA HERE'!FY$9)</f>
        <v/>
      </c>
      <c r="FX9" s="2" t="str">
        <f>IF('PASTE RAW DATA HERE'!FZ$9=0, "", 'PASTE RAW DATA HERE'!FZ$9)</f>
        <v/>
      </c>
      <c r="FY9" s="2" t="str">
        <f>IF('PASTE RAW DATA HERE'!GA$9=0, "", 'PASTE RAW DATA HERE'!GA$9)</f>
        <v/>
      </c>
      <c r="FZ9" s="2" t="str">
        <f>IF('PASTE RAW DATA HERE'!GB$9=0, "", 'PASTE RAW DATA HERE'!GB$9)</f>
        <v/>
      </c>
      <c r="GA9" s="2" t="str">
        <f>IF('PASTE RAW DATA HERE'!GC$9=0, "", 'PASTE RAW DATA HERE'!GC$9)</f>
        <v/>
      </c>
      <c r="GB9" s="2" t="str">
        <f>IF('PASTE RAW DATA HERE'!GD$9=0, "", 'PASTE RAW DATA HERE'!GD$9)</f>
        <v/>
      </c>
      <c r="GC9" s="2" t="str">
        <f>IF('PASTE RAW DATA HERE'!GE$9=0, "", 'PASTE RAW DATA HERE'!GE$9)</f>
        <v/>
      </c>
      <c r="GD9" s="2" t="str">
        <f>IF('PASTE RAW DATA HERE'!GF$9=0, "", 'PASTE RAW DATA HERE'!GF$9)</f>
        <v/>
      </c>
      <c r="GE9" s="2" t="str">
        <f>IF('PASTE RAW DATA HERE'!GG$9=0, "", 'PASTE RAW DATA HERE'!GG$9)</f>
        <v/>
      </c>
      <c r="GF9" s="2" t="str">
        <f>IF('PASTE RAW DATA HERE'!GH$9=0, "", 'PASTE RAW DATA HERE'!GH$9)</f>
        <v/>
      </c>
      <c r="GG9" s="2" t="str">
        <f>IF('PASTE RAW DATA HERE'!GI$9=0, "", 'PASTE RAW DATA HERE'!GI$9)</f>
        <v/>
      </c>
    </row>
    <row r="10" spans="1:189" s="6" customFormat="1" ht="15" customHeight="1" x14ac:dyDescent="0.25">
      <c r="A10" s="5">
        <f>IFERROR(DATEVALUE(A9&amp;" "&amp;A8&amp;" "&amp;Calculation!K2), "")</f>
        <v>43463</v>
      </c>
      <c r="B10" s="5">
        <f>IFERROR(DATEVALUE(B9&amp;" "&amp;B8&amp;" "&amp;Calculation!L2), "")</f>
        <v>43829</v>
      </c>
      <c r="C10" s="5">
        <f>IFERROR(DATEVALUE(C9&amp;" "&amp;C8&amp;" "&amp;Calculation!M2), "")</f>
        <v>43830</v>
      </c>
      <c r="D10" s="5">
        <f>IFERROR(DATEVALUE(D9&amp;" "&amp;D8&amp;" "&amp;Calculation!N2), "")</f>
        <v>43466</v>
      </c>
      <c r="E10" s="5">
        <f>IFERROR(DATEVALUE(E9&amp;" "&amp;E8&amp;" "&amp;Calculation!O2), "")</f>
        <v>43467</v>
      </c>
      <c r="F10" s="5">
        <f>IFERROR(DATEVALUE(F9&amp;" "&amp;F8&amp;" "&amp;Calculation!P2), "")</f>
        <v>43468</v>
      </c>
      <c r="G10" s="5">
        <f>IFERROR(DATEVALUE(G9&amp;" "&amp;G8&amp;" "&amp;Calculation!Q2), "")</f>
        <v>43469</v>
      </c>
      <c r="H10" s="5">
        <f>IFERROR(DATEVALUE(H9&amp;" "&amp;H8&amp;" "&amp;Calculation!R2), "")</f>
        <v>43470</v>
      </c>
      <c r="I10" s="5">
        <f>IFERROR(DATEVALUE(I9&amp;" "&amp;I8&amp;" "&amp;Calculation!S2), "")</f>
        <v>43471</v>
      </c>
      <c r="J10" s="5">
        <f>IFERROR(DATEVALUE(J9&amp;" "&amp;J8&amp;" "&amp;Calculation!T2), "")</f>
        <v>43472</v>
      </c>
      <c r="K10" s="5">
        <f>IFERROR(DATEVALUE(K9&amp;" "&amp;K8&amp;" "&amp;Calculation!U2), "")</f>
        <v>43473</v>
      </c>
      <c r="L10" s="5">
        <f>IFERROR(DATEVALUE(L9&amp;" "&amp;L8&amp;" "&amp;Calculation!V2), "")</f>
        <v>43474</v>
      </c>
      <c r="M10" s="5">
        <f>IFERROR(DATEVALUE(M9&amp;" "&amp;M8&amp;" "&amp;Calculation!W2), "")</f>
        <v>43475</v>
      </c>
      <c r="N10" s="5">
        <f>IFERROR(DATEVALUE(N9&amp;" "&amp;N8&amp;" "&amp;Calculation!X2), "")</f>
        <v>43476</v>
      </c>
      <c r="O10" s="5">
        <f>IFERROR(DATEVALUE(O9&amp;" "&amp;O8&amp;" "&amp;Calculation!Y2), "")</f>
        <v>43477</v>
      </c>
      <c r="P10" s="5">
        <f>IFERROR(DATEVALUE(P9&amp;" "&amp;P8&amp;" "&amp;Calculation!Z2), "")</f>
        <v>43478</v>
      </c>
      <c r="Q10" s="5">
        <f>IFERROR(DATEVALUE(Q9&amp;" "&amp;Q8&amp;" "&amp;Calculation!AA2), "")</f>
        <v>43479</v>
      </c>
      <c r="R10" s="5">
        <f>IFERROR(DATEVALUE(R9&amp;" "&amp;R8&amp;" "&amp;Calculation!AB2), "")</f>
        <v>43480</v>
      </c>
      <c r="S10" s="5">
        <f>IFERROR(DATEVALUE(S9&amp;" "&amp;S8&amp;" "&amp;Calculation!AC2), "")</f>
        <v>43481</v>
      </c>
      <c r="T10" s="5">
        <f>IFERROR(DATEVALUE(T9&amp;" "&amp;T8&amp;" "&amp;Calculation!AD2), "")</f>
        <v>43482</v>
      </c>
      <c r="U10" s="5">
        <f>IFERROR(DATEVALUE(U9&amp;" "&amp;U8&amp;" "&amp;Calculation!AE2), "")</f>
        <v>43483</v>
      </c>
      <c r="V10" s="5">
        <f>IFERROR(DATEVALUE(V9&amp;" "&amp;V8&amp;" "&amp;Calculation!AF2), "")</f>
        <v>43484</v>
      </c>
      <c r="W10" s="5">
        <f>IFERROR(DATEVALUE(W9&amp;" "&amp;W8&amp;" "&amp;Calculation!AG2), "")</f>
        <v>43485</v>
      </c>
      <c r="X10" s="5">
        <f>IFERROR(DATEVALUE(X9&amp;" "&amp;X8&amp;" "&amp;Calculation!AH2), "")</f>
        <v>43486</v>
      </c>
      <c r="Y10" s="5">
        <f>IFERROR(DATEVALUE(Y9&amp;" "&amp;Y8&amp;" "&amp;Calculation!AI2), "")</f>
        <v>43487</v>
      </c>
      <c r="Z10" s="5">
        <f>IFERROR(DATEVALUE(Z9&amp;" "&amp;Z8&amp;" "&amp;Calculation!AJ2), "")</f>
        <v>43488</v>
      </c>
      <c r="AA10" s="5">
        <f>IFERROR(DATEVALUE(AA9&amp;" "&amp;AA8&amp;" "&amp;Calculation!AK2), "")</f>
        <v>43489</v>
      </c>
      <c r="AB10" s="5">
        <f>IFERROR(DATEVALUE(AB9&amp;" "&amp;AB8&amp;" "&amp;Calculation!AL2), "")</f>
        <v>43490</v>
      </c>
      <c r="AC10" s="5">
        <f>IFERROR(DATEVALUE(AC9&amp;" "&amp;AC8&amp;" "&amp;Calculation!AM2), "")</f>
        <v>43491</v>
      </c>
      <c r="AD10" s="5">
        <f>IFERROR(DATEVALUE(AD9&amp;" "&amp;AD8&amp;" "&amp;Calculation!AN2), "")</f>
        <v>43492</v>
      </c>
      <c r="AE10" s="5">
        <f>IFERROR(DATEVALUE(AE9&amp;" "&amp;AE8&amp;" "&amp;Calculation!AO2), "")</f>
        <v>43493</v>
      </c>
      <c r="AF10" s="5">
        <f>IFERROR(DATEVALUE(AF9&amp;" "&amp;AF8&amp;" "&amp;Calculation!AP2), "")</f>
        <v>43494</v>
      </c>
      <c r="AG10" s="5">
        <f>IFERROR(DATEVALUE(AG9&amp;" "&amp;AG8&amp;" "&amp;Calculation!AQ2), "")</f>
        <v>43495</v>
      </c>
      <c r="AH10" s="5">
        <f>IFERROR(DATEVALUE(AH9&amp;" "&amp;AH8&amp;" "&amp;Calculation!AR2), "")</f>
        <v>43496</v>
      </c>
      <c r="AI10" s="5">
        <f>IFERROR(DATEVALUE(AI9&amp;" "&amp;AI8&amp;" "&amp;Calculation!AS2), "")</f>
        <v>43497</v>
      </c>
      <c r="AJ10" s="5">
        <f>IFERROR(DATEVALUE(AJ9&amp;" "&amp;AJ8&amp;" "&amp;Calculation!AT2), "")</f>
        <v>43498</v>
      </c>
      <c r="AK10" s="5">
        <f>IFERROR(DATEVALUE(AK9&amp;" "&amp;AK8&amp;" "&amp;Calculation!AU2), "")</f>
        <v>43499</v>
      </c>
      <c r="AL10" s="5">
        <f>IFERROR(DATEVALUE(AL9&amp;" "&amp;AL8&amp;" "&amp;Calculation!AV2), "")</f>
        <v>43500</v>
      </c>
      <c r="AM10" s="5">
        <f>IFERROR(DATEVALUE(AM9&amp;" "&amp;AM8&amp;" "&amp;Calculation!AW2), "")</f>
        <v>43501</v>
      </c>
      <c r="AN10" s="5">
        <f>IFERROR(DATEVALUE(AN9&amp;" "&amp;AN8&amp;" "&amp;Calculation!AX2), "")</f>
        <v>43502</v>
      </c>
      <c r="AO10" s="5">
        <f>IFERROR(DATEVALUE(AO9&amp;" "&amp;AO8&amp;" "&amp;Calculation!AY2), "")</f>
        <v>43503</v>
      </c>
      <c r="AP10" s="5">
        <f>IFERROR(DATEVALUE(AP9&amp;" "&amp;AP8&amp;" "&amp;Calculation!AZ2), "")</f>
        <v>43504</v>
      </c>
      <c r="AQ10" s="5">
        <f>IFERROR(DATEVALUE(AQ9&amp;" "&amp;AQ8&amp;" "&amp;Calculation!BA2), "")</f>
        <v>43505</v>
      </c>
      <c r="AR10" s="5">
        <f>IFERROR(DATEVALUE(AR9&amp;" "&amp;AR8&amp;" "&amp;Calculation!BB2), "")</f>
        <v>43506</v>
      </c>
      <c r="AS10" s="5">
        <f>IFERROR(DATEVALUE(AS9&amp;" "&amp;AS8&amp;" "&amp;Calculation!BC2), "")</f>
        <v>43507</v>
      </c>
      <c r="AT10" s="5">
        <f>IFERROR(DATEVALUE(AT9&amp;" "&amp;AT8&amp;" "&amp;Calculation!BD2), "")</f>
        <v>43508</v>
      </c>
      <c r="AU10" s="5">
        <f>IFERROR(DATEVALUE(AU9&amp;" "&amp;AU8&amp;" "&amp;Calculation!BE2), "")</f>
        <v>43509</v>
      </c>
      <c r="AV10" s="5">
        <f>IFERROR(DATEVALUE(AV9&amp;" "&amp;AV8&amp;" "&amp;Calculation!BF2), "")</f>
        <v>43510</v>
      </c>
      <c r="AW10" s="5">
        <f>IFERROR(DATEVALUE(AW9&amp;" "&amp;AW8&amp;" "&amp;Calculation!BG2), "")</f>
        <v>43511</v>
      </c>
      <c r="AX10" s="5">
        <f>IFERROR(DATEVALUE(AX9&amp;" "&amp;AX8&amp;" "&amp;Calculation!BH2), "")</f>
        <v>43512</v>
      </c>
      <c r="AY10" s="5">
        <f>IFERROR(DATEVALUE(AY9&amp;" "&amp;AY8&amp;" "&amp;Calculation!BI2), "")</f>
        <v>43513</v>
      </c>
      <c r="AZ10" s="5">
        <f>IFERROR(DATEVALUE(AZ9&amp;" "&amp;AZ8&amp;" "&amp;Calculation!BJ2), "")</f>
        <v>43514</v>
      </c>
      <c r="BA10" s="5">
        <f>IFERROR(DATEVALUE(BA9&amp;" "&amp;BA8&amp;" "&amp;Calculation!BK2), "")</f>
        <v>43515</v>
      </c>
      <c r="BB10" s="5">
        <f>IFERROR(DATEVALUE(BB9&amp;" "&amp;BB8&amp;" "&amp;Calculation!BL2), "")</f>
        <v>43516</v>
      </c>
      <c r="BC10" s="5">
        <f>IFERROR(DATEVALUE(BC9&amp;" "&amp;BC8&amp;" "&amp;Calculation!BM2), "")</f>
        <v>43517</v>
      </c>
      <c r="BD10" s="5">
        <f>IFERROR(DATEVALUE(BD9&amp;" "&amp;BD8&amp;" "&amp;Calculation!BN2), "")</f>
        <v>43518</v>
      </c>
      <c r="BE10" s="5">
        <f>IFERROR(DATEVALUE(BE9&amp;" "&amp;BE8&amp;" "&amp;Calculation!BO2), "")</f>
        <v>43519</v>
      </c>
      <c r="BF10" s="5">
        <f>IFERROR(DATEVALUE(BF9&amp;" "&amp;BF8&amp;" "&amp;Calculation!BP2), "")</f>
        <v>43520</v>
      </c>
      <c r="BG10" s="5">
        <f>IFERROR(DATEVALUE(BG9&amp;" "&amp;BG8&amp;" "&amp;Calculation!BQ2), "")</f>
        <v>43521</v>
      </c>
      <c r="BH10" s="5">
        <f>IFERROR(DATEVALUE(BH9&amp;" "&amp;BH8&amp;" "&amp;Calculation!BR2), "")</f>
        <v>43522</v>
      </c>
      <c r="BI10" s="5">
        <f>IFERROR(DATEVALUE(BI9&amp;" "&amp;BI8&amp;" "&amp;Calculation!BS2), "")</f>
        <v>43523</v>
      </c>
      <c r="BJ10" s="5">
        <f>IFERROR(DATEVALUE(BJ9&amp;" "&amp;BJ8&amp;" "&amp;Calculation!BT2), "")</f>
        <v>43524</v>
      </c>
      <c r="BK10" s="5">
        <f>IFERROR(DATEVALUE(BK9&amp;" "&amp;BK8&amp;" "&amp;Calculation!BU2), "")</f>
        <v>43525</v>
      </c>
      <c r="BL10" s="5">
        <f>IFERROR(DATEVALUE(BL9&amp;" "&amp;BL8&amp;" "&amp;Calculation!BV2), "")</f>
        <v>43526</v>
      </c>
      <c r="BM10" s="5">
        <f>IFERROR(DATEVALUE(BM9&amp;" "&amp;BM8&amp;" "&amp;Calculation!BW2), "")</f>
        <v>43527</v>
      </c>
      <c r="BN10" s="5">
        <f>IFERROR(DATEVALUE(BN9&amp;" "&amp;BN8&amp;" "&amp;Calculation!BX2), "")</f>
        <v>43528</v>
      </c>
      <c r="BO10" s="5">
        <f>IFERROR(DATEVALUE(BO9&amp;" "&amp;BO8&amp;" "&amp;Calculation!BY2), "")</f>
        <v>43529</v>
      </c>
      <c r="BP10" s="5">
        <f>IFERROR(DATEVALUE(BP9&amp;" "&amp;BP8&amp;" "&amp;Calculation!BZ2), "")</f>
        <v>43530</v>
      </c>
      <c r="BQ10" s="5">
        <f>IFERROR(DATEVALUE(BQ9&amp;" "&amp;BQ8&amp;" "&amp;Calculation!CA2), "")</f>
        <v>43531</v>
      </c>
      <c r="BR10" s="5">
        <f>IFERROR(DATEVALUE(BR9&amp;" "&amp;BR8&amp;" "&amp;Calculation!CB2), "")</f>
        <v>43532</v>
      </c>
      <c r="BS10" s="5">
        <f>IFERROR(DATEVALUE(BS9&amp;" "&amp;BS8&amp;" "&amp;Calculation!CC2), "")</f>
        <v>43533</v>
      </c>
      <c r="BT10" s="5">
        <f>IFERROR(DATEVALUE(BT9&amp;" "&amp;BT8&amp;" "&amp;Calculation!CD2), "")</f>
        <v>43534</v>
      </c>
      <c r="BU10" s="5">
        <f>IFERROR(DATEVALUE(BU9&amp;" "&amp;BU8&amp;" "&amp;Calculation!CE2), "")</f>
        <v>43535</v>
      </c>
      <c r="BV10" s="5">
        <f>IFERROR(DATEVALUE(BV9&amp;" "&amp;BV8&amp;" "&amp;Calculation!CF2), "")</f>
        <v>43536</v>
      </c>
      <c r="BW10" s="5">
        <f>IFERROR(DATEVALUE(BW9&amp;" "&amp;BW8&amp;" "&amp;Calculation!CG2), "")</f>
        <v>43537</v>
      </c>
      <c r="BX10" s="5">
        <f>IFERROR(DATEVALUE(BX9&amp;" "&amp;BX8&amp;" "&amp;Calculation!CH2), "")</f>
        <v>43538</v>
      </c>
      <c r="BY10" s="5">
        <f>IFERROR(DATEVALUE(BY9&amp;" "&amp;BY8&amp;" "&amp;Calculation!CI2), "")</f>
        <v>43539</v>
      </c>
      <c r="BZ10" s="5">
        <f>IFERROR(DATEVALUE(BZ9&amp;" "&amp;BZ8&amp;" "&amp;Calculation!CJ2), "")</f>
        <v>43540</v>
      </c>
      <c r="CA10" s="5">
        <f>IFERROR(DATEVALUE(CA9&amp;" "&amp;CA8&amp;" "&amp;Calculation!CK2), "")</f>
        <v>43541</v>
      </c>
      <c r="CB10" s="5">
        <f>IFERROR(DATEVALUE(CB9&amp;" "&amp;CB8&amp;" "&amp;Calculation!CL2), "")</f>
        <v>43542</v>
      </c>
      <c r="CC10" s="5">
        <f>IFERROR(DATEVALUE(CC9&amp;" "&amp;CC8&amp;" "&amp;Calculation!CM2), "")</f>
        <v>43543</v>
      </c>
      <c r="CD10" s="5">
        <f>IFERROR(DATEVALUE(CD9&amp;" "&amp;CD8&amp;" "&amp;Calculation!CN2), "")</f>
        <v>43544</v>
      </c>
      <c r="CE10" s="5">
        <f>IFERROR(DATEVALUE(CE9&amp;" "&amp;CE8&amp;" "&amp;Calculation!CO2), "")</f>
        <v>43545</v>
      </c>
      <c r="CF10" s="5">
        <f>IFERROR(DATEVALUE(CF9&amp;" "&amp;CF8&amp;" "&amp;Calculation!CP2), "")</f>
        <v>43546</v>
      </c>
      <c r="CG10" s="5">
        <f>IFERROR(DATEVALUE(CG9&amp;" "&amp;CG8&amp;" "&amp;Calculation!CQ2), "")</f>
        <v>43547</v>
      </c>
      <c r="CH10" s="5">
        <f>IFERROR(DATEVALUE(CH9&amp;" "&amp;CH8&amp;" "&amp;Calculation!CR2), "")</f>
        <v>43548</v>
      </c>
      <c r="CI10" s="5">
        <f>IFERROR(DATEVALUE(CI9&amp;" "&amp;CI8&amp;" "&amp;Calculation!CS2), "")</f>
        <v>43549</v>
      </c>
      <c r="CJ10" s="5">
        <f>IFERROR(DATEVALUE(CJ9&amp;" "&amp;CJ8&amp;" "&amp;Calculation!CT2), "")</f>
        <v>43550</v>
      </c>
      <c r="CK10" s="5">
        <f>IFERROR(DATEVALUE(CK9&amp;" "&amp;CK8&amp;" "&amp;Calculation!CU2), "")</f>
        <v>43551</v>
      </c>
      <c r="CL10" s="5">
        <f>IFERROR(DATEVALUE(CL9&amp;" "&amp;CL8&amp;" "&amp;Calculation!CV2), "")</f>
        <v>43552</v>
      </c>
      <c r="CM10" s="5">
        <f>IFERROR(DATEVALUE(CM9&amp;" "&amp;CM8&amp;" "&amp;Calculation!CW2), "")</f>
        <v>43553</v>
      </c>
      <c r="CN10" s="5">
        <f>IFERROR(DATEVALUE(CN9&amp;" "&amp;CN8&amp;" "&amp;Calculation!CX2), "")</f>
        <v>43554</v>
      </c>
      <c r="CO10" s="5">
        <f>IFERROR(DATEVALUE(CO9&amp;" "&amp;CO8&amp;" "&amp;Calculation!CY2), "")</f>
        <v>43555</v>
      </c>
      <c r="CP10" s="5">
        <f>IFERROR(DATEVALUE(CP9&amp;" "&amp;CP8&amp;" "&amp;Calculation!CZ2), "")</f>
        <v>43556</v>
      </c>
      <c r="CQ10" s="5">
        <f>IFERROR(DATEVALUE(CQ9&amp;" "&amp;CQ8&amp;" "&amp;Calculation!DA2), "")</f>
        <v>43557</v>
      </c>
      <c r="CR10" s="5">
        <f>IFERROR(DATEVALUE(CR9&amp;" "&amp;CR8&amp;" "&amp;Calculation!DB2), "")</f>
        <v>43558</v>
      </c>
      <c r="CS10" s="5">
        <f>IFERROR(DATEVALUE(CS9&amp;" "&amp;CS8&amp;" "&amp;Calculation!DC2), "")</f>
        <v>43559</v>
      </c>
      <c r="CT10" s="5">
        <f>IFERROR(DATEVALUE(CT9&amp;" "&amp;CT8&amp;" "&amp;Calculation!DD2), "")</f>
        <v>43560</v>
      </c>
      <c r="CU10" s="5">
        <f>IFERROR(DATEVALUE(CU9&amp;" "&amp;CU8&amp;" "&amp;Calculation!DE2), "")</f>
        <v>43561</v>
      </c>
      <c r="CV10" s="5">
        <f>IFERROR(DATEVALUE(CV9&amp;" "&amp;CV8&amp;" "&amp;Calculation!DF2), "")</f>
        <v>43562</v>
      </c>
      <c r="CW10" s="5">
        <f>IFERROR(DATEVALUE(CW9&amp;" "&amp;CW8&amp;" "&amp;Calculation!DG2), "")</f>
        <v>43563</v>
      </c>
      <c r="CX10" s="5">
        <f>IFERROR(DATEVALUE(CX9&amp;" "&amp;CX8&amp;" "&amp;Calculation!DH2), "")</f>
        <v>43564</v>
      </c>
      <c r="CY10" s="5">
        <f>IFERROR(DATEVALUE(CY9&amp;" "&amp;CY8&amp;" "&amp;Calculation!DI2), "")</f>
        <v>43565</v>
      </c>
      <c r="CZ10" s="5">
        <f>IFERROR(DATEVALUE(CZ9&amp;" "&amp;CZ8&amp;" "&amp;Calculation!DJ2), "")</f>
        <v>43566</v>
      </c>
      <c r="DA10" s="5">
        <f>IFERROR(DATEVALUE(DA9&amp;" "&amp;DA8&amp;" "&amp;Calculation!DK2), "")</f>
        <v>43567</v>
      </c>
      <c r="DB10" s="5">
        <f>IFERROR(DATEVALUE(DB9&amp;" "&amp;DB8&amp;" "&amp;Calculation!DL2), "")</f>
        <v>43568</v>
      </c>
      <c r="DC10" s="5">
        <f>IFERROR(DATEVALUE(DC9&amp;" "&amp;DC8&amp;" "&amp;Calculation!DM2), "")</f>
        <v>43569</v>
      </c>
      <c r="DD10" s="5">
        <f>IFERROR(DATEVALUE(DD9&amp;" "&amp;DD8&amp;" "&amp;Calculation!DN2), "")</f>
        <v>43570</v>
      </c>
      <c r="DE10" s="5">
        <f>IFERROR(DATEVALUE(DE9&amp;" "&amp;DE8&amp;" "&amp;Calculation!DO2), "")</f>
        <v>43571</v>
      </c>
      <c r="DF10" s="5">
        <f>IFERROR(DATEVALUE(DF9&amp;" "&amp;DF8&amp;" "&amp;Calculation!DP2), "")</f>
        <v>43572</v>
      </c>
      <c r="DG10" s="5">
        <f>IFERROR(DATEVALUE(DG9&amp;" "&amp;DG8&amp;" "&amp;Calculation!DQ2), "")</f>
        <v>43573</v>
      </c>
      <c r="DH10" s="5">
        <f>IFERROR(DATEVALUE(DH9&amp;" "&amp;DH8&amp;" "&amp;Calculation!DR2), "")</f>
        <v>43574</v>
      </c>
      <c r="DI10" s="5" t="str">
        <f>IFERROR(DATEVALUE(DI9&amp;" "&amp;DI8&amp;" "&amp;Calculation!DS2), "")</f>
        <v/>
      </c>
      <c r="DJ10" s="5" t="str">
        <f>IFERROR(DATEVALUE(DJ9&amp;" "&amp;DJ8&amp;" "&amp;Calculation!DT2), "")</f>
        <v/>
      </c>
      <c r="DK10" s="5" t="str">
        <f>IFERROR(DATEVALUE(DK9&amp;" "&amp;DK8&amp;" "&amp;Calculation!DU2), "")</f>
        <v/>
      </c>
      <c r="DL10" s="5" t="str">
        <f>IFERROR(DATEVALUE(DL9&amp;" "&amp;DL8&amp;" "&amp;Calculation!DV2), "")</f>
        <v/>
      </c>
      <c r="DM10" s="5" t="str">
        <f>IFERROR(DATEVALUE(DM9&amp;" "&amp;DM8&amp;" "&amp;Calculation!DW2), "")</f>
        <v/>
      </c>
      <c r="DN10" s="5" t="str">
        <f>IFERROR(DATEVALUE(DN9&amp;" "&amp;DN8&amp;" "&amp;Calculation!DX2), "")</f>
        <v/>
      </c>
      <c r="DO10" s="5" t="str">
        <f>IFERROR(DATEVALUE(DO9&amp;" "&amp;DO8&amp;" "&amp;Calculation!DY2), "")</f>
        <v/>
      </c>
      <c r="DP10" s="5" t="str">
        <f>IFERROR(DATEVALUE(DP9&amp;" "&amp;DP8&amp;" "&amp;Calculation!DZ2), "")</f>
        <v/>
      </c>
      <c r="DQ10" s="5" t="str">
        <f>IFERROR(DATEVALUE(DQ9&amp;" "&amp;DQ8&amp;" "&amp;Calculation!EA2), "")</f>
        <v/>
      </c>
      <c r="DR10" s="5" t="str">
        <f>IFERROR(DATEVALUE(DR9&amp;" "&amp;DR8&amp;" "&amp;Calculation!EB2), "")</f>
        <v/>
      </c>
      <c r="DS10" s="5" t="str">
        <f>IFERROR(DATEVALUE(DS9&amp;" "&amp;DS8&amp;" "&amp;Calculation!EC2), "")</f>
        <v/>
      </c>
      <c r="DT10" s="5" t="str">
        <f>IFERROR(DATEVALUE(DT9&amp;" "&amp;DT8&amp;" "&amp;Calculation!ED2), "")</f>
        <v/>
      </c>
      <c r="DU10" s="5" t="str">
        <f>IFERROR(DATEVALUE(DU9&amp;" "&amp;DU8&amp;" "&amp;Calculation!EE2), "")</f>
        <v/>
      </c>
      <c r="DV10" s="5" t="str">
        <f>IFERROR(DATEVALUE(DV9&amp;" "&amp;DV8&amp;" "&amp;Calculation!EF2), "")</f>
        <v/>
      </c>
      <c r="DW10" s="5" t="str">
        <f>IFERROR(DATEVALUE(DW9&amp;" "&amp;DW8&amp;" "&amp;Calculation!EG2), "")</f>
        <v/>
      </c>
      <c r="DX10" s="5" t="str">
        <f>IFERROR(DATEVALUE(DX9&amp;" "&amp;DX8&amp;" "&amp;Calculation!EH2), "")</f>
        <v/>
      </c>
      <c r="DY10" s="5" t="str">
        <f>IFERROR(DATEVALUE(DY9&amp;" "&amp;DY8&amp;" "&amp;Calculation!EI2), "")</f>
        <v/>
      </c>
      <c r="DZ10" s="5" t="str">
        <f>IFERROR(DATEVALUE(DZ9&amp;" "&amp;DZ8&amp;" "&amp;Calculation!EJ2), "")</f>
        <v/>
      </c>
      <c r="EA10" s="5" t="str">
        <f>IFERROR(DATEVALUE(EA9&amp;" "&amp;EA8&amp;" "&amp;Calculation!EK2), "")</f>
        <v/>
      </c>
      <c r="EB10" s="5" t="str">
        <f>IFERROR(DATEVALUE(EB9&amp;" "&amp;EB8&amp;" "&amp;Calculation!EL2), "")</f>
        <v/>
      </c>
      <c r="EC10" s="5" t="str">
        <f>IFERROR(DATEVALUE(EC9&amp;" "&amp;EC8&amp;" "&amp;Calculation!EM2), "")</f>
        <v/>
      </c>
      <c r="ED10" s="5" t="str">
        <f>IFERROR(DATEVALUE(ED9&amp;" "&amp;ED8&amp;" "&amp;Calculation!EN2), "")</f>
        <v/>
      </c>
      <c r="EE10" s="5" t="str">
        <f>IFERROR(DATEVALUE(EE9&amp;" "&amp;EE8&amp;" "&amp;Calculation!EO2), "")</f>
        <v/>
      </c>
      <c r="EF10" s="5" t="str">
        <f>IFERROR(DATEVALUE(EF9&amp;" "&amp;EF8&amp;" "&amp;Calculation!EP2), "")</f>
        <v/>
      </c>
      <c r="EG10" s="5" t="str">
        <f>IFERROR(DATEVALUE(EG9&amp;" "&amp;EG8&amp;" "&amp;Calculation!EQ2), "")</f>
        <v/>
      </c>
      <c r="EH10" s="5" t="str">
        <f>IFERROR(DATEVALUE(EH9&amp;" "&amp;EH8&amp;" "&amp;Calculation!ER2), "")</f>
        <v/>
      </c>
      <c r="EI10" s="5" t="str">
        <f>IFERROR(DATEVALUE(EI9&amp;" "&amp;EI8&amp;" "&amp;Calculation!ES2), "")</f>
        <v/>
      </c>
      <c r="EJ10" s="5" t="str">
        <f>IFERROR(DATEVALUE(EJ9&amp;" "&amp;EJ8&amp;" "&amp;Calculation!ET2), "")</f>
        <v/>
      </c>
      <c r="EK10" s="5" t="str">
        <f>IFERROR(DATEVALUE(EK9&amp;" "&amp;EK8&amp;" "&amp;Calculation!EU2), "")</f>
        <v/>
      </c>
      <c r="EL10" s="5" t="str">
        <f>IFERROR(DATEVALUE(EL9&amp;" "&amp;EL8&amp;" "&amp;Calculation!EV2), "")</f>
        <v/>
      </c>
      <c r="EM10" s="5" t="str">
        <f>IFERROR(DATEVALUE(EM9&amp;" "&amp;EM8&amp;" "&amp;Calculation!EW2), "")</f>
        <v/>
      </c>
      <c r="EN10" s="5" t="str">
        <f>IFERROR(DATEVALUE(EN9&amp;" "&amp;EN8&amp;" "&amp;Calculation!EX2), "")</f>
        <v/>
      </c>
      <c r="EO10" s="5" t="str">
        <f>IFERROR(DATEVALUE(EO9&amp;" "&amp;EO8&amp;" "&amp;Calculation!EY2), "")</f>
        <v/>
      </c>
      <c r="EP10" s="5" t="str">
        <f>IFERROR(DATEVALUE(EP9&amp;" "&amp;EP8&amp;" "&amp;Calculation!EZ2), "")</f>
        <v/>
      </c>
      <c r="EQ10" s="5" t="str">
        <f>IFERROR(DATEVALUE(EQ9&amp;" "&amp;EQ8&amp;" "&amp;Calculation!FA2), "")</f>
        <v/>
      </c>
      <c r="ER10" s="5" t="str">
        <f>IFERROR(DATEVALUE(ER9&amp;" "&amp;ER8&amp;" "&amp;Calculation!FB2), "")</f>
        <v/>
      </c>
      <c r="ES10" s="5" t="str">
        <f>IFERROR(DATEVALUE(ES9&amp;" "&amp;ES8&amp;" "&amp;Calculation!FC2), "")</f>
        <v/>
      </c>
      <c r="ET10" s="5" t="str">
        <f>IFERROR(DATEVALUE(ET9&amp;" "&amp;ET8&amp;" "&amp;Calculation!FD2), "")</f>
        <v/>
      </c>
      <c r="EU10" s="5" t="str">
        <f>IFERROR(DATEVALUE(EU9&amp;" "&amp;EU8&amp;" "&amp;Calculation!FE2), "")</f>
        <v/>
      </c>
      <c r="EV10" s="5" t="str">
        <f>IFERROR(DATEVALUE(EV9&amp;" "&amp;EV8&amp;" "&amp;Calculation!FF2), "")</f>
        <v/>
      </c>
      <c r="EW10" s="5" t="str">
        <f>IFERROR(DATEVALUE(EW9&amp;" "&amp;EW8&amp;" "&amp;Calculation!FG2), "")</f>
        <v/>
      </c>
      <c r="EX10" s="5" t="str">
        <f>IFERROR(DATEVALUE(EX9&amp;" "&amp;EX8&amp;" "&amp;Calculation!FH2), "")</f>
        <v/>
      </c>
      <c r="EY10" s="5" t="str">
        <f>IFERROR(DATEVALUE(EY9&amp;" "&amp;EY8&amp;" "&amp;Calculation!FI2), "")</f>
        <v/>
      </c>
      <c r="EZ10" s="5" t="str">
        <f>IFERROR(DATEVALUE(EZ9&amp;" "&amp;EZ8&amp;" "&amp;Calculation!FJ2), "")</f>
        <v/>
      </c>
      <c r="FA10" s="5" t="str">
        <f>IFERROR(DATEVALUE(FA9&amp;" "&amp;FA8&amp;" "&amp;Calculation!FK2), "")</f>
        <v/>
      </c>
      <c r="FB10" s="5" t="str">
        <f>IFERROR(DATEVALUE(FB9&amp;" "&amp;FB8&amp;" "&amp;Calculation!FL2), "")</f>
        <v/>
      </c>
      <c r="FC10" s="5" t="str">
        <f>IFERROR(DATEVALUE(FC9&amp;" "&amp;FC8&amp;" "&amp;Calculation!FM2), "")</f>
        <v/>
      </c>
      <c r="FD10" s="5" t="str">
        <f>IFERROR(DATEVALUE(FD9&amp;" "&amp;FD8&amp;" "&amp;Calculation!FN2), "")</f>
        <v/>
      </c>
      <c r="FE10" s="5" t="str">
        <f>IFERROR(DATEVALUE(FE9&amp;" "&amp;FE8&amp;" "&amp;Calculation!FO2), "")</f>
        <v/>
      </c>
      <c r="FF10" s="5" t="str">
        <f>IFERROR(DATEVALUE(FF9&amp;" "&amp;FF8&amp;" "&amp;Calculation!FP2), "")</f>
        <v/>
      </c>
      <c r="FG10" s="5" t="str">
        <f>IFERROR(DATEVALUE(FG9&amp;" "&amp;FG8&amp;" "&amp;Calculation!FQ2), "")</f>
        <v/>
      </c>
      <c r="FH10" s="5" t="str">
        <f>IFERROR(DATEVALUE(FH9&amp;" "&amp;FH8&amp;" "&amp;Calculation!FR2), "")</f>
        <v/>
      </c>
      <c r="FI10" s="5" t="str">
        <f>IFERROR(DATEVALUE(FI9&amp;" "&amp;FI8&amp;" "&amp;Calculation!FS2), "")</f>
        <v/>
      </c>
      <c r="FJ10" s="5" t="str">
        <f>IFERROR(DATEVALUE(FJ9&amp;" "&amp;FJ8&amp;" "&amp;Calculation!FT2), "")</f>
        <v/>
      </c>
      <c r="FK10" s="5" t="str">
        <f>IFERROR(DATEVALUE(FK9&amp;" "&amp;FK8&amp;" "&amp;Calculation!FU2), "")</f>
        <v/>
      </c>
      <c r="FL10" s="5" t="str">
        <f>IFERROR(DATEVALUE(FL9&amp;" "&amp;FL8&amp;" "&amp;Calculation!FV2), "")</f>
        <v/>
      </c>
      <c r="FM10" s="5" t="str">
        <f>IFERROR(DATEVALUE(FM9&amp;" "&amp;FM8&amp;" "&amp;Calculation!FW2), "")</f>
        <v/>
      </c>
      <c r="FN10" s="5" t="str">
        <f>IFERROR(DATEVALUE(FN9&amp;" "&amp;FN8&amp;" "&amp;Calculation!FX2), "")</f>
        <v/>
      </c>
      <c r="FO10" s="5" t="str">
        <f>IFERROR(DATEVALUE(FO9&amp;" "&amp;FO8&amp;" "&amp;Calculation!FY2), "")</f>
        <v/>
      </c>
      <c r="FP10" s="5" t="str">
        <f>IFERROR(DATEVALUE(FP9&amp;" "&amp;FP8&amp;" "&amp;Calculation!FZ2), "")</f>
        <v/>
      </c>
      <c r="FQ10" s="5" t="str">
        <f>IFERROR(DATEVALUE(FQ9&amp;" "&amp;FQ8&amp;" "&amp;Calculation!GA2), "")</f>
        <v/>
      </c>
      <c r="FR10" s="5" t="str">
        <f>IFERROR(DATEVALUE(FR9&amp;" "&amp;FR8&amp;" "&amp;Calculation!GB2), "")</f>
        <v/>
      </c>
      <c r="FS10" s="5" t="str">
        <f>IFERROR(DATEVALUE(FS9&amp;" "&amp;FS8&amp;" "&amp;Calculation!GC2), "")</f>
        <v/>
      </c>
      <c r="FT10" s="5" t="str">
        <f>IFERROR(DATEVALUE(FT9&amp;" "&amp;FT8&amp;" "&amp;Calculation!GD2), "")</f>
        <v/>
      </c>
      <c r="FU10" s="5" t="str">
        <f>IFERROR(DATEVALUE(FU9&amp;" "&amp;FU8&amp;" "&amp;Calculation!GE2), "")</f>
        <v/>
      </c>
      <c r="FV10" s="5" t="str">
        <f>IFERROR(DATEVALUE(FV9&amp;" "&amp;FV8&amp;" "&amp;Calculation!GF2), "")</f>
        <v/>
      </c>
      <c r="FW10" s="5" t="str">
        <f>IFERROR(DATEVALUE(FW9&amp;" "&amp;FW8&amp;" "&amp;Calculation!GG2), "")</f>
        <v/>
      </c>
      <c r="FX10" s="5" t="str">
        <f>IFERROR(DATEVALUE(FX9&amp;" "&amp;FX8&amp;" "&amp;Calculation!GH2), "")</f>
        <v/>
      </c>
      <c r="FY10" s="5" t="str">
        <f>IFERROR(DATEVALUE(FY9&amp;" "&amp;FY8&amp;" "&amp;Calculation!GI2), "")</f>
        <v/>
      </c>
      <c r="FZ10" s="5" t="str">
        <f>IFERROR(DATEVALUE(FZ9&amp;" "&amp;FZ8&amp;" "&amp;Calculation!GJ2), "")</f>
        <v/>
      </c>
      <c r="GA10" s="5" t="str">
        <f>IFERROR(DATEVALUE(GA9&amp;" "&amp;GA8&amp;" "&amp;Calculation!GK2), "")</f>
        <v/>
      </c>
      <c r="GB10" s="5" t="str">
        <f>IFERROR(DATEVALUE(GB9&amp;" "&amp;GB8&amp;" "&amp;Calculation!GL2), "")</f>
        <v/>
      </c>
      <c r="GC10" s="5" t="str">
        <f>IFERROR(DATEVALUE(GC9&amp;" "&amp;GC8&amp;" "&amp;Calculation!GM2), "")</f>
        <v/>
      </c>
      <c r="GD10" s="5" t="str">
        <f>IFERROR(DATEVALUE(GD9&amp;" "&amp;GD8&amp;" "&amp;Calculation!GN2), "")</f>
        <v/>
      </c>
      <c r="GE10" s="5" t="str">
        <f>IFERROR(DATEVALUE(GE9&amp;" "&amp;GE8&amp;" "&amp;Calculation!GO2), "")</f>
        <v/>
      </c>
      <c r="GF10" s="5" t="str">
        <f>IFERROR(DATEVALUE(GF9&amp;" "&amp;GF8&amp;" "&amp;Calculation!GP2), "")</f>
        <v/>
      </c>
      <c r="GG10" s="5" t="str">
        <f>IFERROR(DATEVALUE(GG9&amp;" "&amp;GG8&amp;" "&amp;Calculation!GQ2), "")</f>
        <v/>
      </c>
    </row>
    <row r="11" spans="1:189" s="4" customFormat="1" ht="19.5" customHeight="1" x14ac:dyDescent="0.25">
      <c r="A11" s="4">
        <f ca="1">Calculation!A$22</f>
        <v>8</v>
      </c>
      <c r="B11" s="4">
        <f ca="1">Calculation!B$22</f>
        <v>8</v>
      </c>
      <c r="C11" s="4">
        <f ca="1">Calculation!C$22</f>
        <v>7</v>
      </c>
      <c r="D11" s="4">
        <f ca="1">Calculation!D$22</f>
        <v>7</v>
      </c>
      <c r="E11" s="4">
        <f ca="1">Calculation!E$22</f>
        <v>7</v>
      </c>
      <c r="F11" s="4">
        <f ca="1">Calculation!F$22</f>
        <v>8</v>
      </c>
      <c r="G11" s="4">
        <f ca="1">Calculation!G$22</f>
        <v>8</v>
      </c>
      <c r="H11" s="4">
        <f ca="1">Calculation!H$22</f>
        <v>14</v>
      </c>
      <c r="I11" s="4">
        <f ca="1">Calculation!I$22</f>
        <v>12</v>
      </c>
      <c r="J11" s="4">
        <f ca="1">Calculation!J$22</f>
        <v>13</v>
      </c>
      <c r="K11" s="4">
        <f ca="1">Calculation!K$22</f>
        <v>13</v>
      </c>
      <c r="L11" s="4">
        <f ca="1">Calculation!L$22</f>
        <v>13</v>
      </c>
      <c r="M11" s="4">
        <f ca="1">Calculation!M$22</f>
        <v>13</v>
      </c>
      <c r="N11" s="4">
        <f ca="1">Calculation!N$22</f>
        <v>13</v>
      </c>
      <c r="O11" s="4">
        <f ca="1">Calculation!O$22</f>
        <v>12</v>
      </c>
      <c r="P11" s="4">
        <f ca="1">Calculation!P$22</f>
        <v>12</v>
      </c>
      <c r="Q11" s="4">
        <f ca="1">Calculation!Q$22</f>
        <v>12</v>
      </c>
      <c r="R11" s="4">
        <f ca="1">Calculation!R$22</f>
        <v>12</v>
      </c>
      <c r="S11" s="4">
        <f ca="1">Calculation!S$22</f>
        <v>11</v>
      </c>
      <c r="T11" s="4">
        <f ca="1">Calculation!T$22</f>
        <v>11</v>
      </c>
      <c r="U11" s="4">
        <f ca="1">Calculation!U$22</f>
        <v>11</v>
      </c>
      <c r="V11" s="4">
        <f ca="1">Calculation!V$22</f>
        <v>12</v>
      </c>
      <c r="W11" s="4">
        <f ca="1">Calculation!W$22</f>
        <v>12</v>
      </c>
      <c r="X11" s="4">
        <f ca="1">Calculation!X$22</f>
        <v>13</v>
      </c>
      <c r="Y11" s="4">
        <f ca="1">Calculation!Y$22</f>
        <v>13</v>
      </c>
      <c r="Z11" s="4">
        <f ca="1">Calculation!Z$22</f>
        <v>13</v>
      </c>
      <c r="AA11" s="4">
        <f ca="1">Calculation!AA$22</f>
        <v>13</v>
      </c>
      <c r="AB11" s="4">
        <f ca="1">Calculation!AB$22</f>
        <v>14</v>
      </c>
      <c r="AC11" s="4">
        <f ca="1">Calculation!AC$22</f>
        <v>14</v>
      </c>
      <c r="AD11" s="4">
        <f ca="1">Calculation!AD$22</f>
        <v>13</v>
      </c>
      <c r="AE11" s="4">
        <f ca="1">Calculation!AE$22</f>
        <v>13</v>
      </c>
      <c r="AF11" s="4">
        <f ca="1">Calculation!AF$22</f>
        <v>14</v>
      </c>
      <c r="AG11" s="4">
        <f ca="1">Calculation!AG$22</f>
        <v>14</v>
      </c>
      <c r="AH11" s="4">
        <f ca="1">Calculation!AH$22</f>
        <v>14</v>
      </c>
      <c r="AI11" s="4">
        <f ca="1">Calculation!AI$22</f>
        <v>14</v>
      </c>
      <c r="AJ11" s="4">
        <f ca="1">Calculation!AJ$22</f>
        <v>19</v>
      </c>
      <c r="AK11" s="4">
        <f ca="1">Calculation!AK$22</f>
        <v>13</v>
      </c>
      <c r="AL11" s="4">
        <f ca="1">Calculation!AL$22</f>
        <v>13</v>
      </c>
      <c r="AM11" s="4">
        <f ca="1">Calculation!AM$22</f>
        <v>13</v>
      </c>
      <c r="AN11" s="4">
        <f ca="1">Calculation!AN$22</f>
        <v>13</v>
      </c>
      <c r="AO11" s="4">
        <f ca="1">Calculation!AO$22</f>
        <v>13</v>
      </c>
      <c r="AP11" s="4">
        <f ca="1">Calculation!AP$22</f>
        <v>13</v>
      </c>
      <c r="AQ11" s="4">
        <f ca="1">Calculation!AQ$22</f>
        <v>16</v>
      </c>
      <c r="AR11" s="4">
        <f ca="1">Calculation!AR$22</f>
        <v>17</v>
      </c>
      <c r="AS11" s="4">
        <f ca="1">Calculation!AS$22</f>
        <v>17</v>
      </c>
      <c r="AT11" s="4">
        <f ca="1">Calculation!AT$22</f>
        <v>17</v>
      </c>
      <c r="AU11" s="4">
        <f ca="1">Calculation!AU$22</f>
        <v>17</v>
      </c>
      <c r="AV11" s="4">
        <f ca="1">Calculation!AV$22</f>
        <v>17</v>
      </c>
      <c r="AW11" s="4">
        <f ca="1">Calculation!AW$22</f>
        <v>18</v>
      </c>
      <c r="AX11" s="4">
        <f ca="1">Calculation!AX$22</f>
        <v>19</v>
      </c>
      <c r="AY11" s="4">
        <f ca="1">Calculation!AY$22</f>
        <v>21</v>
      </c>
      <c r="AZ11" s="4">
        <f ca="1">Calculation!AZ$22</f>
        <v>21</v>
      </c>
      <c r="BA11" s="4">
        <f ca="1">Calculation!BA$22</f>
        <v>21</v>
      </c>
      <c r="BB11" s="4">
        <f ca="1">Calculation!BB$22</f>
        <v>21</v>
      </c>
      <c r="BC11" s="4">
        <f ca="1">Calculation!BC$22</f>
        <v>21</v>
      </c>
      <c r="BD11" s="4">
        <f ca="1">Calculation!BD$22</f>
        <v>21</v>
      </c>
      <c r="BE11" s="4">
        <f ca="1">Calculation!BE$22</f>
        <v>15</v>
      </c>
      <c r="BF11" s="4">
        <f ca="1">Calculation!BF$22</f>
        <v>16</v>
      </c>
      <c r="BG11" s="4">
        <f ca="1">Calculation!BG$22</f>
        <v>16</v>
      </c>
      <c r="BH11" s="4">
        <f ca="1">Calculation!BH$22</f>
        <v>16</v>
      </c>
      <c r="BI11" s="4">
        <f ca="1">Calculation!BI$22</f>
        <v>16</v>
      </c>
      <c r="BJ11" s="4">
        <f ca="1">Calculation!BJ$22</f>
        <v>16</v>
      </c>
      <c r="BK11" s="4">
        <f ca="1">Calculation!BK$22</f>
        <v>16</v>
      </c>
      <c r="BL11" s="4">
        <f ca="1">Calculation!BL$22</f>
        <v>18</v>
      </c>
      <c r="BM11" s="4">
        <f ca="1">Calculation!BM$22</f>
        <v>17</v>
      </c>
      <c r="BN11" s="4">
        <f ca="1">Calculation!BN$22</f>
        <v>17</v>
      </c>
      <c r="BO11" s="4">
        <f ca="1">Calculation!BO$22</f>
        <v>17</v>
      </c>
      <c r="BP11" s="4">
        <f ca="1">Calculation!BP$22</f>
        <v>17</v>
      </c>
      <c r="BQ11" s="4">
        <f ca="1">Calculation!BQ$22</f>
        <v>17</v>
      </c>
      <c r="BR11" s="4">
        <f ca="1">Calculation!BR$22</f>
        <v>17</v>
      </c>
      <c r="BS11" s="4">
        <f ca="1">Calculation!BS$22</f>
        <v>20</v>
      </c>
      <c r="BT11" s="4">
        <f ca="1">Calculation!BT$22</f>
        <v>20</v>
      </c>
      <c r="BU11" s="4">
        <f ca="1">Calculation!BU$22</f>
        <v>20</v>
      </c>
      <c r="BV11" s="4">
        <f ca="1">Calculation!BV$22</f>
        <v>20</v>
      </c>
      <c r="BW11" s="4">
        <f ca="1">Calculation!BW$22</f>
        <v>20</v>
      </c>
      <c r="BX11" s="4">
        <f ca="1">Calculation!BX$22</f>
        <v>20</v>
      </c>
      <c r="BY11" s="4">
        <f ca="1">Calculation!BY$22</f>
        <v>20</v>
      </c>
      <c r="BZ11" s="4">
        <f ca="1">Calculation!BZ$22</f>
        <v>21</v>
      </c>
      <c r="CA11" s="4">
        <f ca="1">Calculation!CA$22</f>
        <v>21</v>
      </c>
      <c r="CB11" s="4">
        <f ca="1">Calculation!CB$22</f>
        <v>21</v>
      </c>
      <c r="CC11" s="4">
        <f ca="1">Calculation!CC$22</f>
        <v>21</v>
      </c>
      <c r="CD11" s="4">
        <f ca="1">Calculation!CD$22</f>
        <v>21</v>
      </c>
      <c r="CE11" s="4">
        <f ca="1">Calculation!CE$22</f>
        <v>21</v>
      </c>
      <c r="CF11" s="4">
        <f ca="1">Calculation!CF$22</f>
        <v>21</v>
      </c>
      <c r="CG11" s="4">
        <f ca="1">Calculation!CG$22</f>
        <v>21</v>
      </c>
      <c r="CH11" s="4">
        <f ca="1">Calculation!CH$22</f>
        <v>22</v>
      </c>
      <c r="CI11" s="4">
        <f ca="1">Calculation!CI$22</f>
        <v>22</v>
      </c>
      <c r="CJ11" s="4">
        <f ca="1">Calculation!CJ$22</f>
        <v>22</v>
      </c>
      <c r="CK11" s="4">
        <f ca="1">Calculation!CK$22</f>
        <v>22</v>
      </c>
      <c r="CL11" s="4">
        <f ca="1">Calculation!CL$22</f>
        <v>22</v>
      </c>
      <c r="CM11" s="4">
        <f ca="1">Calculation!CM$22</f>
        <v>22</v>
      </c>
      <c r="CN11" s="4">
        <f ca="1">Calculation!CN$22</f>
        <v>23</v>
      </c>
      <c r="CO11" s="4">
        <f ca="1">Calculation!CO$22</f>
        <v>23</v>
      </c>
      <c r="CP11" s="4">
        <f ca="1">Calculation!CP$22</f>
        <v>23</v>
      </c>
      <c r="CQ11" s="4">
        <f ca="1">Calculation!CQ$22</f>
        <v>23</v>
      </c>
      <c r="CR11" s="4">
        <f ca="1">Calculation!CR$22</f>
        <v>23</v>
      </c>
      <c r="CS11" s="4">
        <f ca="1">Calculation!CS$22</f>
        <v>23</v>
      </c>
      <c r="CT11" s="4">
        <f ca="1">Calculation!CT$22</f>
        <v>23</v>
      </c>
      <c r="CU11" s="4">
        <f ca="1">Calculation!CU$22</f>
        <v>25</v>
      </c>
      <c r="CV11" s="4">
        <f ca="1">Calculation!CV$22</f>
        <v>32</v>
      </c>
      <c r="CW11" s="4">
        <f ca="1">Calculation!CW$22</f>
        <v>32</v>
      </c>
      <c r="CX11" s="4">
        <f ca="1">Calculation!CX$22</f>
        <v>32</v>
      </c>
      <c r="CY11" s="4">
        <f ca="1">Calculation!CY$22</f>
        <v>32</v>
      </c>
      <c r="CZ11" s="4">
        <f ca="1">Calculation!CZ$22</f>
        <v>32</v>
      </c>
      <c r="DA11" s="4">
        <f ca="1">Calculation!DA$22</f>
        <v>32</v>
      </c>
      <c r="DB11" s="4">
        <f ca="1">Calculation!DB$22</f>
        <v>32</v>
      </c>
      <c r="DC11" s="4">
        <f ca="1">Calculation!DC$22</f>
        <v>33</v>
      </c>
      <c r="DD11" s="4">
        <f ca="1">Calculation!DD$22</f>
        <v>33</v>
      </c>
      <c r="DE11" s="4">
        <f ca="1">Calculation!DE$22</f>
        <v>33</v>
      </c>
      <c r="DF11" s="4">
        <f ca="1">Calculation!DF$22</f>
        <v>33</v>
      </c>
      <c r="DG11" s="4">
        <f ca="1">Calculation!DG$22</f>
        <v>33</v>
      </c>
      <c r="DH11" s="4">
        <f ca="1">Calculation!DH$22</f>
        <v>33</v>
      </c>
      <c r="DI11" s="4" t="str">
        <f ca="1">Calculation!DI$22</f>
        <v/>
      </c>
      <c r="DJ11" s="4" t="str">
        <f ca="1">Calculation!DJ$22</f>
        <v/>
      </c>
      <c r="DK11" s="4" t="str">
        <f ca="1">Calculation!DK$22</f>
        <v/>
      </c>
      <c r="DL11" s="4" t="str">
        <f ca="1">Calculation!DL$22</f>
        <v/>
      </c>
      <c r="DM11" s="4" t="str">
        <f ca="1">Calculation!DM$22</f>
        <v/>
      </c>
      <c r="DN11" s="4" t="str">
        <f ca="1">Calculation!DN$22</f>
        <v/>
      </c>
      <c r="DO11" s="4" t="str">
        <f ca="1">Calculation!DO$22</f>
        <v/>
      </c>
      <c r="DP11" s="4" t="str">
        <f ca="1">Calculation!DP$22</f>
        <v/>
      </c>
      <c r="DQ11" s="4" t="str">
        <f ca="1">Calculation!DQ$22</f>
        <v/>
      </c>
      <c r="DR11" s="4" t="str">
        <f ca="1">Calculation!DR$22</f>
        <v/>
      </c>
      <c r="DS11" s="4" t="str">
        <f ca="1">Calculation!DS$22</f>
        <v/>
      </c>
      <c r="DT11" s="4" t="str">
        <f ca="1">Calculation!DT$22</f>
        <v/>
      </c>
      <c r="DU11" s="4" t="str">
        <f ca="1">Calculation!DU$22</f>
        <v/>
      </c>
      <c r="DV11" s="4" t="str">
        <f ca="1">Calculation!DV$22</f>
        <v/>
      </c>
      <c r="DW11" s="4" t="str">
        <f ca="1">Calculation!DW$22</f>
        <v/>
      </c>
      <c r="DX11" s="4" t="str">
        <f ca="1">Calculation!DX$22</f>
        <v/>
      </c>
      <c r="DY11" s="4" t="str">
        <f ca="1">Calculation!DY$22</f>
        <v/>
      </c>
      <c r="DZ11" s="4" t="str">
        <f ca="1">Calculation!DZ$22</f>
        <v/>
      </c>
      <c r="EA11" s="4" t="str">
        <f ca="1">Calculation!EA$22</f>
        <v/>
      </c>
      <c r="EB11" s="4" t="str">
        <f ca="1">Calculation!EB$22</f>
        <v/>
      </c>
      <c r="EC11" s="4" t="str">
        <f ca="1">Calculation!EC$22</f>
        <v/>
      </c>
      <c r="ED11" s="4" t="str">
        <f ca="1">Calculation!ED$22</f>
        <v/>
      </c>
      <c r="EE11" s="4" t="str">
        <f ca="1">Calculation!EE$22</f>
        <v/>
      </c>
      <c r="EF11" s="4" t="str">
        <f ca="1">Calculation!EF$22</f>
        <v/>
      </c>
      <c r="EG11" s="4" t="str">
        <f ca="1">Calculation!EG$22</f>
        <v/>
      </c>
      <c r="EH11" s="4" t="str">
        <f ca="1">Calculation!EH$22</f>
        <v/>
      </c>
      <c r="EI11" s="4" t="str">
        <f ca="1">Calculation!EI$22</f>
        <v/>
      </c>
      <c r="EJ11" s="4" t="str">
        <f ca="1">Calculation!EJ$22</f>
        <v/>
      </c>
      <c r="EK11" s="4" t="str">
        <f ca="1">Calculation!EK$22</f>
        <v/>
      </c>
      <c r="EL11" s="4" t="str">
        <f ca="1">Calculation!EL$22</f>
        <v/>
      </c>
      <c r="EM11" s="4" t="str">
        <f ca="1">Calculation!EM$22</f>
        <v/>
      </c>
      <c r="EN11" s="4" t="str">
        <f ca="1">Calculation!EN$22</f>
        <v/>
      </c>
      <c r="EO11" s="4" t="str">
        <f ca="1">Calculation!EO$22</f>
        <v/>
      </c>
      <c r="EP11" s="4" t="str">
        <f ca="1">Calculation!EP$22</f>
        <v/>
      </c>
      <c r="EQ11" s="4" t="str">
        <f ca="1">Calculation!EQ$22</f>
        <v/>
      </c>
      <c r="ER11" s="4" t="str">
        <f ca="1">Calculation!ER$22</f>
        <v/>
      </c>
      <c r="ES11" s="4" t="str">
        <f ca="1">Calculation!ES$22</f>
        <v/>
      </c>
      <c r="ET11" s="4" t="str">
        <f ca="1">Calculation!ET$22</f>
        <v/>
      </c>
      <c r="EU11" s="4" t="str">
        <f ca="1">Calculation!EU$22</f>
        <v/>
      </c>
      <c r="EV11" s="4" t="str">
        <f ca="1">Calculation!EV$22</f>
        <v/>
      </c>
      <c r="EW11" s="4" t="str">
        <f ca="1">Calculation!EW$22</f>
        <v/>
      </c>
      <c r="EX11" s="4" t="str">
        <f ca="1">Calculation!EX$22</f>
        <v/>
      </c>
      <c r="EY11" s="4" t="str">
        <f ca="1">Calculation!EY$22</f>
        <v/>
      </c>
      <c r="EZ11" s="4" t="str">
        <f ca="1">Calculation!EZ$22</f>
        <v/>
      </c>
      <c r="FA11" s="4" t="str">
        <f ca="1">Calculation!FA$22</f>
        <v/>
      </c>
      <c r="FB11" s="4" t="str">
        <f ca="1">Calculation!FB$22</f>
        <v/>
      </c>
      <c r="FC11" s="4" t="str">
        <f ca="1">Calculation!FC$22</f>
        <v/>
      </c>
      <c r="FD11" s="4" t="str">
        <f ca="1">Calculation!FD$22</f>
        <v/>
      </c>
      <c r="FE11" s="4" t="str">
        <f ca="1">Calculation!FE$22</f>
        <v/>
      </c>
      <c r="FF11" s="4" t="str">
        <f ca="1">Calculation!FF$22</f>
        <v/>
      </c>
      <c r="FG11" s="4" t="str">
        <f ca="1">Calculation!FG$22</f>
        <v/>
      </c>
      <c r="FH11" s="4" t="str">
        <f ca="1">Calculation!FH$22</f>
        <v/>
      </c>
      <c r="FI11" s="4" t="str">
        <f ca="1">Calculation!FI$22</f>
        <v/>
      </c>
      <c r="FJ11" s="4" t="str">
        <f ca="1">Calculation!FJ$22</f>
        <v/>
      </c>
      <c r="FK11" s="4" t="str">
        <f ca="1">Calculation!FK$22</f>
        <v/>
      </c>
      <c r="FL11" s="4" t="str">
        <f ca="1">Calculation!FL$22</f>
        <v/>
      </c>
      <c r="FM11" s="4" t="str">
        <f ca="1">Calculation!FM$22</f>
        <v/>
      </c>
      <c r="FN11" s="4" t="str">
        <f ca="1">Calculation!FN$22</f>
        <v/>
      </c>
      <c r="FO11" s="4" t="str">
        <f ca="1">Calculation!FO$22</f>
        <v/>
      </c>
      <c r="FP11" s="4" t="str">
        <f ca="1">Calculation!FP$22</f>
        <v/>
      </c>
      <c r="FQ11" s="4" t="str">
        <f ca="1">Calculation!FQ$22</f>
        <v/>
      </c>
      <c r="FR11" s="4" t="str">
        <f ca="1">Calculation!FR$22</f>
        <v/>
      </c>
      <c r="FS11" s="4" t="str">
        <f ca="1">Calculation!FS$22</f>
        <v/>
      </c>
      <c r="FT11" s="4" t="str">
        <f ca="1">Calculation!FT$22</f>
        <v/>
      </c>
      <c r="FU11" s="4" t="str">
        <f ca="1">Calculation!FU$22</f>
        <v/>
      </c>
      <c r="FV11" s="4" t="str">
        <f ca="1">Calculation!FV$22</f>
        <v/>
      </c>
      <c r="FW11" s="4" t="str">
        <f ca="1">Calculation!FW$22</f>
        <v/>
      </c>
      <c r="FX11" s="4" t="str">
        <f ca="1">Calculation!FX$22</f>
        <v/>
      </c>
      <c r="FY11" s="4" t="str">
        <f ca="1">Calculation!FY$22</f>
        <v/>
      </c>
      <c r="FZ11" s="4" t="str">
        <f ca="1">Calculation!FZ$22</f>
        <v/>
      </c>
      <c r="GA11" s="4" t="str">
        <f ca="1">Calculation!GA$22</f>
        <v/>
      </c>
      <c r="GB11" s="4" t="str">
        <f ca="1">Calculation!GB$22</f>
        <v/>
      </c>
      <c r="GC11" s="4" t="str">
        <f ca="1">Calculation!GC$22</f>
        <v/>
      </c>
      <c r="GD11" s="4" t="str">
        <f ca="1">Calculation!GD$22</f>
        <v/>
      </c>
      <c r="GE11" s="4" t="str">
        <f ca="1">Calculation!GE$22</f>
        <v/>
      </c>
      <c r="GF11" s="4" t="str">
        <f ca="1">Calculation!GF$22</f>
        <v/>
      </c>
      <c r="GG11" s="4" t="str">
        <f ca="1">Calculation!GG$22</f>
        <v/>
      </c>
    </row>
    <row r="13" spans="1:189" x14ac:dyDescent="0.25">
      <c r="A13" s="1" t="s">
        <v>16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</row>
    <row r="14" spans="1:189" x14ac:dyDescent="0.25">
      <c r="A14" s="2" t="str">
        <f>IF('PASTE RAW DATA HERE'!C$8=0, "", 'PASTE RAW DATA HERE'!C$8)</f>
        <v>Dec</v>
      </c>
      <c r="B14" s="2" t="str">
        <f>IF('PASTE RAW DATA HERE'!D$8=0, "", 'PASTE RAW DATA HERE'!D$8)</f>
        <v>Dec</v>
      </c>
      <c r="C14" s="2" t="str">
        <f>IF('PASTE RAW DATA HERE'!E$8=0, "", 'PASTE RAW DATA HERE'!E$8)</f>
        <v>Dec</v>
      </c>
      <c r="D14" s="2" t="str">
        <f>IF('PASTE RAW DATA HERE'!F$8=0, "", 'PASTE RAW DATA HERE'!F$8)</f>
        <v>Jan</v>
      </c>
      <c r="E14" s="2" t="str">
        <f>IF('PASTE RAW DATA HERE'!G$8=0, "", 'PASTE RAW DATA HERE'!G$8)</f>
        <v>Jan</v>
      </c>
      <c r="F14" s="2" t="str">
        <f>IF('PASTE RAW DATA HERE'!H$8=0, "", 'PASTE RAW DATA HERE'!H$8)</f>
        <v>Jan</v>
      </c>
      <c r="G14" s="2" t="str">
        <f>IF('PASTE RAW DATA HERE'!I$8=0, "", 'PASTE RAW DATA HERE'!I$8)</f>
        <v>Jan</v>
      </c>
      <c r="H14" s="2" t="str">
        <f>IF('PASTE RAW DATA HERE'!J$8=0, "", 'PASTE RAW DATA HERE'!J$8)</f>
        <v>Jan</v>
      </c>
      <c r="I14" s="2" t="str">
        <f>IF('PASTE RAW DATA HERE'!K$8=0, "", 'PASTE RAW DATA HERE'!K$8)</f>
        <v>Jan</v>
      </c>
      <c r="J14" s="2" t="str">
        <f>IF('PASTE RAW DATA HERE'!L$8=0, "", 'PASTE RAW DATA HERE'!L$8)</f>
        <v>Jan</v>
      </c>
      <c r="K14" s="2" t="str">
        <f>IF('PASTE RAW DATA HERE'!M$8=0, "", 'PASTE RAW DATA HERE'!M$8)</f>
        <v>Jan</v>
      </c>
      <c r="L14" s="2" t="str">
        <f>IF('PASTE RAW DATA HERE'!N$8=0, "", 'PASTE RAW DATA HERE'!N$8)</f>
        <v>Jan</v>
      </c>
      <c r="M14" s="2" t="str">
        <f>IF('PASTE RAW DATA HERE'!O$8=0, "", 'PASTE RAW DATA HERE'!O$8)</f>
        <v>Jan</v>
      </c>
      <c r="N14" s="2" t="str">
        <f>IF('PASTE RAW DATA HERE'!P$8=0, "", 'PASTE RAW DATA HERE'!P$8)</f>
        <v>Jan</v>
      </c>
      <c r="O14" s="2" t="str">
        <f>IF('PASTE RAW DATA HERE'!Q$8=0, "", 'PASTE RAW DATA HERE'!Q$8)</f>
        <v>Jan</v>
      </c>
      <c r="P14" s="2" t="str">
        <f>IF('PASTE RAW DATA HERE'!R$8=0, "", 'PASTE RAW DATA HERE'!R$8)</f>
        <v>Jan</v>
      </c>
      <c r="Q14" s="2" t="str">
        <f>IF('PASTE RAW DATA HERE'!S$8=0, "", 'PASTE RAW DATA HERE'!S$8)</f>
        <v>Jan</v>
      </c>
      <c r="R14" s="2" t="str">
        <f>IF('PASTE RAW DATA HERE'!T$8=0, "", 'PASTE RAW DATA HERE'!T$8)</f>
        <v>Jan</v>
      </c>
      <c r="S14" s="2" t="str">
        <f>IF('PASTE RAW DATA HERE'!U$8=0, "", 'PASTE RAW DATA HERE'!U$8)</f>
        <v>Jan</v>
      </c>
      <c r="T14" s="2" t="str">
        <f>IF('PASTE RAW DATA HERE'!V$8=0, "", 'PASTE RAW DATA HERE'!V$8)</f>
        <v>Jan</v>
      </c>
      <c r="U14" s="2" t="str">
        <f>IF('PASTE RAW DATA HERE'!W$8=0, "", 'PASTE RAW DATA HERE'!W$8)</f>
        <v>Jan</v>
      </c>
      <c r="V14" s="2" t="str">
        <f>IF('PASTE RAW DATA HERE'!X$8=0, "", 'PASTE RAW DATA HERE'!X$8)</f>
        <v>Jan</v>
      </c>
      <c r="W14" s="2" t="str">
        <f>IF('PASTE RAW DATA HERE'!Y$8=0, "", 'PASTE RAW DATA HERE'!Y$8)</f>
        <v>Jan</v>
      </c>
      <c r="X14" s="2" t="str">
        <f>IF('PASTE RAW DATA HERE'!Z$8=0, "", 'PASTE RAW DATA HERE'!Z$8)</f>
        <v>Jan</v>
      </c>
      <c r="Y14" s="2" t="str">
        <f>IF('PASTE RAW DATA HERE'!AA$8=0, "", 'PASTE RAW DATA HERE'!AA$8)</f>
        <v>Jan</v>
      </c>
      <c r="Z14" s="2" t="str">
        <f>IF('PASTE RAW DATA HERE'!AB$8=0, "", 'PASTE RAW DATA HERE'!AB$8)</f>
        <v>Jan</v>
      </c>
      <c r="AA14" s="2" t="str">
        <f>IF('PASTE RAW DATA HERE'!AC$8=0, "", 'PASTE RAW DATA HERE'!AC$8)</f>
        <v>Jan</v>
      </c>
      <c r="AB14" s="2" t="str">
        <f>IF('PASTE RAW DATA HERE'!AD$8=0, "", 'PASTE RAW DATA HERE'!AD$8)</f>
        <v>Jan</v>
      </c>
      <c r="AC14" s="2" t="str">
        <f>IF('PASTE RAW DATA HERE'!AE$8=0, "", 'PASTE RAW DATA HERE'!AE$8)</f>
        <v>Jan</v>
      </c>
      <c r="AD14" s="2" t="str">
        <f>IF('PASTE RAW DATA HERE'!AF$8=0, "", 'PASTE RAW DATA HERE'!AF$8)</f>
        <v>Jan</v>
      </c>
      <c r="AE14" s="2" t="str">
        <f>IF('PASTE RAW DATA HERE'!AG$8=0, "", 'PASTE RAW DATA HERE'!AG$8)</f>
        <v>Jan</v>
      </c>
      <c r="AF14" s="2" t="str">
        <f>IF('PASTE RAW DATA HERE'!AH$8=0, "", 'PASTE RAW DATA HERE'!AH$8)</f>
        <v>Jan</v>
      </c>
      <c r="AG14" s="2" t="str">
        <f>IF('PASTE RAW DATA HERE'!AI$8=0, "", 'PASTE RAW DATA HERE'!AI$8)</f>
        <v>Jan</v>
      </c>
      <c r="AH14" s="2" t="str">
        <f>IF('PASTE RAW DATA HERE'!AJ$8=0, "", 'PASTE RAW DATA HERE'!AJ$8)</f>
        <v>Jan</v>
      </c>
      <c r="AI14" s="2" t="str">
        <f>IF('PASTE RAW DATA HERE'!AK$8=0, "", 'PASTE RAW DATA HERE'!AK$8)</f>
        <v>Feb</v>
      </c>
      <c r="AJ14" s="2" t="str">
        <f>IF('PASTE RAW DATA HERE'!AL$8=0, "", 'PASTE RAW DATA HERE'!AL$8)</f>
        <v>Feb</v>
      </c>
      <c r="AK14" s="2" t="str">
        <f>IF('PASTE RAW DATA HERE'!AM$8=0, "", 'PASTE RAW DATA HERE'!AM$8)</f>
        <v>Feb</v>
      </c>
      <c r="AL14" s="2" t="str">
        <f>IF('PASTE RAW DATA HERE'!AN$8=0, "", 'PASTE RAW DATA HERE'!AN$8)</f>
        <v>Feb</v>
      </c>
      <c r="AM14" s="2" t="str">
        <f>IF('PASTE RAW DATA HERE'!AO$8=0, "", 'PASTE RAW DATA HERE'!AO$8)</f>
        <v>Feb</v>
      </c>
      <c r="AN14" s="2" t="str">
        <f>IF('PASTE RAW DATA HERE'!AP$8=0, "", 'PASTE RAW DATA HERE'!AP$8)</f>
        <v>Feb</v>
      </c>
      <c r="AO14" s="2" t="str">
        <f>IF('PASTE RAW DATA HERE'!AQ$8=0, "", 'PASTE RAW DATA HERE'!AQ$8)</f>
        <v>Feb</v>
      </c>
      <c r="AP14" s="2" t="str">
        <f>IF('PASTE RAW DATA HERE'!AR$8=0, "", 'PASTE RAW DATA HERE'!AR$8)</f>
        <v>Feb</v>
      </c>
      <c r="AQ14" s="2" t="str">
        <f>IF('PASTE RAW DATA HERE'!AS$8=0, "", 'PASTE RAW DATA HERE'!AS$8)</f>
        <v>Feb</v>
      </c>
      <c r="AR14" s="2" t="str">
        <f>IF('PASTE RAW DATA HERE'!AT$8=0, "", 'PASTE RAW DATA HERE'!AT$8)</f>
        <v>Feb</v>
      </c>
      <c r="AS14" s="2" t="str">
        <f>IF('PASTE RAW DATA HERE'!AU$8=0, "", 'PASTE RAW DATA HERE'!AU$8)</f>
        <v>Feb</v>
      </c>
      <c r="AT14" s="2" t="str">
        <f>IF('PASTE RAW DATA HERE'!AV$8=0, "", 'PASTE RAW DATA HERE'!AV$8)</f>
        <v>Feb</v>
      </c>
      <c r="AU14" s="2" t="str">
        <f>IF('PASTE RAW DATA HERE'!AW$8=0, "", 'PASTE RAW DATA HERE'!AW$8)</f>
        <v>Feb</v>
      </c>
      <c r="AV14" s="2" t="str">
        <f>IF('PASTE RAW DATA HERE'!AX$8=0, "", 'PASTE RAW DATA HERE'!AX$8)</f>
        <v>Feb</v>
      </c>
      <c r="AW14" s="2" t="str">
        <f>IF('PASTE RAW DATA HERE'!AY$8=0, "", 'PASTE RAW DATA HERE'!AY$8)</f>
        <v>Feb</v>
      </c>
      <c r="AX14" s="2" t="str">
        <f>IF('PASTE RAW DATA HERE'!AZ$8=0, "", 'PASTE RAW DATA HERE'!AZ$8)</f>
        <v>Feb</v>
      </c>
      <c r="AY14" s="2" t="str">
        <f>IF('PASTE RAW DATA HERE'!BA$8=0, "", 'PASTE RAW DATA HERE'!BA$8)</f>
        <v>Feb</v>
      </c>
      <c r="AZ14" s="2" t="str">
        <f>IF('PASTE RAW DATA HERE'!BB$8=0, "", 'PASTE RAW DATA HERE'!BB$8)</f>
        <v>Feb</v>
      </c>
      <c r="BA14" s="2" t="str">
        <f>IF('PASTE RAW DATA HERE'!BC$8=0, "", 'PASTE RAW DATA HERE'!BC$8)</f>
        <v>Feb</v>
      </c>
      <c r="BB14" s="2" t="str">
        <f>IF('PASTE RAW DATA HERE'!BD$8=0, "", 'PASTE RAW DATA HERE'!BD$8)</f>
        <v>Feb</v>
      </c>
      <c r="BC14" s="2" t="str">
        <f>IF('PASTE RAW DATA HERE'!BE$8=0, "", 'PASTE RAW DATA HERE'!BE$8)</f>
        <v>Feb</v>
      </c>
      <c r="BD14" s="2" t="str">
        <f>IF('PASTE RAW DATA HERE'!BF$8=0, "", 'PASTE RAW DATA HERE'!BF$8)</f>
        <v>Feb</v>
      </c>
      <c r="BE14" s="2" t="str">
        <f>IF('PASTE RAW DATA HERE'!BG$8=0, "", 'PASTE RAW DATA HERE'!BG$8)</f>
        <v>Feb</v>
      </c>
      <c r="BF14" s="2" t="str">
        <f>IF('PASTE RAW DATA HERE'!BH$8=0, "", 'PASTE RAW DATA HERE'!BH$8)</f>
        <v>Feb</v>
      </c>
      <c r="BG14" s="2" t="str">
        <f>IF('PASTE RAW DATA HERE'!BI$8=0, "", 'PASTE RAW DATA HERE'!BI$8)</f>
        <v>Feb</v>
      </c>
      <c r="BH14" s="2" t="str">
        <f>IF('PASTE RAW DATA HERE'!BJ$8=0, "", 'PASTE RAW DATA HERE'!BJ$8)</f>
        <v>Feb</v>
      </c>
      <c r="BI14" s="2" t="str">
        <f>IF('PASTE RAW DATA HERE'!BK$8=0, "", 'PASTE RAW DATA HERE'!BK$8)</f>
        <v>Feb</v>
      </c>
      <c r="BJ14" s="2" t="str">
        <f>IF('PASTE RAW DATA HERE'!BL$8=0, "", 'PASTE RAW DATA HERE'!BL$8)</f>
        <v>Feb</v>
      </c>
      <c r="BK14" s="2" t="str">
        <f>IF('PASTE RAW DATA HERE'!BM$8=0, "", 'PASTE RAW DATA HERE'!BM$8)</f>
        <v>Mar</v>
      </c>
      <c r="BL14" s="2" t="str">
        <f>IF('PASTE RAW DATA HERE'!BN$8=0, "", 'PASTE RAW DATA HERE'!BN$8)</f>
        <v>Mar</v>
      </c>
      <c r="BM14" s="2" t="str">
        <f>IF('PASTE RAW DATA HERE'!BO$8=0, "", 'PASTE RAW DATA HERE'!BO$8)</f>
        <v>Mar</v>
      </c>
      <c r="BN14" s="2" t="str">
        <f>IF('PASTE RAW DATA HERE'!BP$8=0, "", 'PASTE RAW DATA HERE'!BP$8)</f>
        <v>Mar</v>
      </c>
      <c r="BO14" s="2" t="str">
        <f>IF('PASTE RAW DATA HERE'!BQ$8=0, "", 'PASTE RAW DATA HERE'!BQ$8)</f>
        <v>Mar</v>
      </c>
      <c r="BP14" s="2" t="str">
        <f>IF('PASTE RAW DATA HERE'!BR$8=0, "", 'PASTE RAW DATA HERE'!BR$8)</f>
        <v>Mar</v>
      </c>
      <c r="BQ14" s="2" t="str">
        <f>IF('PASTE RAW DATA HERE'!BS$8=0, "", 'PASTE RAW DATA HERE'!BS$8)</f>
        <v>Mar</v>
      </c>
      <c r="BR14" s="2" t="str">
        <f>IF('PASTE RAW DATA HERE'!BT$8=0, "", 'PASTE RAW DATA HERE'!BT$8)</f>
        <v>Mar</v>
      </c>
      <c r="BS14" s="2" t="str">
        <f>IF('PASTE RAW DATA HERE'!BU$8=0, "", 'PASTE RAW DATA HERE'!BU$8)</f>
        <v>Mar</v>
      </c>
      <c r="BT14" s="2" t="str">
        <f>IF('PASTE RAW DATA HERE'!BV$8=0, "", 'PASTE RAW DATA HERE'!BV$8)</f>
        <v>Mar</v>
      </c>
      <c r="BU14" s="2" t="str">
        <f>IF('PASTE RAW DATA HERE'!BW$8=0, "", 'PASTE RAW DATA HERE'!BW$8)</f>
        <v>Mar</v>
      </c>
      <c r="BV14" s="2" t="str">
        <f>IF('PASTE RAW DATA HERE'!BX$8=0, "", 'PASTE RAW DATA HERE'!BX$8)</f>
        <v>Mar</v>
      </c>
      <c r="BW14" s="2" t="str">
        <f>IF('PASTE RAW DATA HERE'!BY$8=0, "", 'PASTE RAW DATA HERE'!BY$8)</f>
        <v>Mar</v>
      </c>
      <c r="BX14" s="2" t="str">
        <f>IF('PASTE RAW DATA HERE'!BZ$8=0, "", 'PASTE RAW DATA HERE'!BZ$8)</f>
        <v>Mar</v>
      </c>
      <c r="BY14" s="2" t="str">
        <f>IF('PASTE RAW DATA HERE'!CA$8=0, "", 'PASTE RAW DATA HERE'!CA$8)</f>
        <v>Mar</v>
      </c>
      <c r="BZ14" s="2" t="str">
        <f>IF('PASTE RAW DATA HERE'!CB$8=0, "", 'PASTE RAW DATA HERE'!CB$8)</f>
        <v>Mar</v>
      </c>
      <c r="CA14" s="2" t="str">
        <f>IF('PASTE RAW DATA HERE'!CC$8=0, "", 'PASTE RAW DATA HERE'!CC$8)</f>
        <v>Mar</v>
      </c>
      <c r="CB14" s="2" t="str">
        <f>IF('PASTE RAW DATA HERE'!CD$8=0, "", 'PASTE RAW DATA HERE'!CD$8)</f>
        <v>Mar</v>
      </c>
      <c r="CC14" s="2" t="str">
        <f>IF('PASTE RAW DATA HERE'!CE$8=0, "", 'PASTE RAW DATA HERE'!CE$8)</f>
        <v>Mar</v>
      </c>
      <c r="CD14" s="2" t="str">
        <f>IF('PASTE RAW DATA HERE'!CF$8=0, "", 'PASTE RAW DATA HERE'!CF$8)</f>
        <v>Mar</v>
      </c>
      <c r="CE14" s="2" t="str">
        <f>IF('PASTE RAW DATA HERE'!CG$8=0, "", 'PASTE RAW DATA HERE'!CG$8)</f>
        <v>Mar</v>
      </c>
      <c r="CF14" s="2" t="str">
        <f>IF('PASTE RAW DATA HERE'!CH$8=0, "", 'PASTE RAW DATA HERE'!CH$8)</f>
        <v>Mar</v>
      </c>
      <c r="CG14" s="2" t="str">
        <f>IF('PASTE RAW DATA HERE'!CI$8=0, "", 'PASTE RAW DATA HERE'!CI$8)</f>
        <v>Mar</v>
      </c>
      <c r="CH14" s="2" t="str">
        <f>IF('PASTE RAW DATA HERE'!CJ$8=0, "", 'PASTE RAW DATA HERE'!CJ$8)</f>
        <v>Mar</v>
      </c>
      <c r="CI14" s="2" t="str">
        <f>IF('PASTE RAW DATA HERE'!CK$8=0, "", 'PASTE RAW DATA HERE'!CK$8)</f>
        <v>Mar</v>
      </c>
      <c r="CJ14" s="2" t="str">
        <f>IF('PASTE RAW DATA HERE'!CL$8=0, "", 'PASTE RAW DATA HERE'!CL$8)</f>
        <v>Mar</v>
      </c>
      <c r="CK14" s="2" t="str">
        <f>IF('PASTE RAW DATA HERE'!CM$8=0, "", 'PASTE RAW DATA HERE'!CM$8)</f>
        <v>Mar</v>
      </c>
      <c r="CL14" s="2" t="str">
        <f>IF('PASTE RAW DATA HERE'!CN$8=0, "", 'PASTE RAW DATA HERE'!CN$8)</f>
        <v>Mar</v>
      </c>
      <c r="CM14" s="2" t="str">
        <f>IF('PASTE RAW DATA HERE'!CO$8=0, "", 'PASTE RAW DATA HERE'!CO$8)</f>
        <v>Mar</v>
      </c>
      <c r="CN14" s="2" t="str">
        <f>IF('PASTE RAW DATA HERE'!CP$8=0, "", 'PASTE RAW DATA HERE'!CP$8)</f>
        <v>Mar</v>
      </c>
      <c r="CO14" s="2" t="str">
        <f>IF('PASTE RAW DATA HERE'!CQ$8=0, "", 'PASTE RAW DATA HERE'!CQ$8)</f>
        <v>Mar</v>
      </c>
      <c r="CP14" s="2" t="str">
        <f>IF('PASTE RAW DATA HERE'!CR$8=0, "", 'PASTE RAW DATA HERE'!CR$8)</f>
        <v>Apr</v>
      </c>
      <c r="CQ14" s="2" t="str">
        <f>IF('PASTE RAW DATA HERE'!CS$8=0, "", 'PASTE RAW DATA HERE'!CS$8)</f>
        <v>Apr</v>
      </c>
      <c r="CR14" s="2" t="str">
        <f>IF('PASTE RAW DATA HERE'!CT$8=0, "", 'PASTE RAW DATA HERE'!CT$8)</f>
        <v>Apr</v>
      </c>
      <c r="CS14" s="2" t="str">
        <f>IF('PASTE RAW DATA HERE'!CU$8=0, "", 'PASTE RAW DATA HERE'!CU$8)</f>
        <v>Apr</v>
      </c>
      <c r="CT14" s="2" t="str">
        <f>IF('PASTE RAW DATA HERE'!CV$8=0, "", 'PASTE RAW DATA HERE'!CV$8)</f>
        <v>Apr</v>
      </c>
      <c r="CU14" s="2" t="str">
        <f>IF('PASTE RAW DATA HERE'!CW$8=0, "", 'PASTE RAW DATA HERE'!CW$8)</f>
        <v>Apr</v>
      </c>
      <c r="CV14" s="2" t="str">
        <f>IF('PASTE RAW DATA HERE'!CX$8=0, "", 'PASTE RAW DATA HERE'!CX$8)</f>
        <v>Apr</v>
      </c>
      <c r="CW14" s="2" t="str">
        <f>IF('PASTE RAW DATA HERE'!CY$8=0, "", 'PASTE RAW DATA HERE'!CY$8)</f>
        <v>Apr</v>
      </c>
      <c r="CX14" s="2" t="str">
        <f>IF('PASTE RAW DATA HERE'!CZ$8=0, "", 'PASTE RAW DATA HERE'!CZ$8)</f>
        <v>Apr</v>
      </c>
      <c r="CY14" s="2" t="str">
        <f>IF('PASTE RAW DATA HERE'!DA$8=0, "", 'PASTE RAW DATA HERE'!DA$8)</f>
        <v>Apr</v>
      </c>
      <c r="CZ14" s="2" t="str">
        <f>IF('PASTE RAW DATA HERE'!DB$8=0, "", 'PASTE RAW DATA HERE'!DB$8)</f>
        <v>Apr</v>
      </c>
      <c r="DA14" s="2" t="str">
        <f>IF('PASTE RAW DATA HERE'!DC$8=0, "", 'PASTE RAW DATA HERE'!DC$8)</f>
        <v>Apr</v>
      </c>
      <c r="DB14" s="2" t="str">
        <f>IF('PASTE RAW DATA HERE'!DD$8=0, "", 'PASTE RAW DATA HERE'!DD$8)</f>
        <v>Apr</v>
      </c>
      <c r="DC14" s="2" t="str">
        <f>IF('PASTE RAW DATA HERE'!DE$8=0, "", 'PASTE RAW DATA HERE'!DE$8)</f>
        <v>Apr</v>
      </c>
      <c r="DD14" s="2" t="str">
        <f>IF('PASTE RAW DATA HERE'!DF$8=0, "", 'PASTE RAW DATA HERE'!DF$8)</f>
        <v>Apr</v>
      </c>
      <c r="DE14" s="2" t="str">
        <f>IF('PASTE RAW DATA HERE'!DG$8=0, "", 'PASTE RAW DATA HERE'!DG$8)</f>
        <v>Apr</v>
      </c>
      <c r="DF14" s="2" t="str">
        <f>IF('PASTE RAW DATA HERE'!DH$8=0, "", 'PASTE RAW DATA HERE'!DH$8)</f>
        <v>Apr</v>
      </c>
      <c r="DG14" s="2" t="str">
        <f>IF('PASTE RAW DATA HERE'!DI$8=0, "", 'PASTE RAW DATA HERE'!DI$8)</f>
        <v>Apr</v>
      </c>
      <c r="DH14" s="2" t="str">
        <f>IF('PASTE RAW DATA HERE'!DJ$8=0, "", 'PASTE RAW DATA HERE'!DJ$8)</f>
        <v>Apr</v>
      </c>
      <c r="DI14" s="2" t="str">
        <f>IF('PASTE RAW DATA HERE'!DK$8=0, "", 'PASTE RAW DATA HERE'!DK$8)</f>
        <v/>
      </c>
      <c r="DJ14" s="2" t="str">
        <f>IF('PASTE RAW DATA HERE'!DL$8=0, "", 'PASTE RAW DATA HERE'!DL$8)</f>
        <v/>
      </c>
      <c r="DK14" s="2" t="str">
        <f>IF('PASTE RAW DATA HERE'!DM$8=0, "", 'PASTE RAW DATA HERE'!DM$8)</f>
        <v/>
      </c>
      <c r="DL14" s="2" t="str">
        <f>IF('PASTE RAW DATA HERE'!DN$8=0, "", 'PASTE RAW DATA HERE'!DN$8)</f>
        <v/>
      </c>
      <c r="DM14" s="2" t="str">
        <f>IF('PASTE RAW DATA HERE'!DO$8=0, "", 'PASTE RAW DATA HERE'!DO$8)</f>
        <v/>
      </c>
      <c r="DN14" s="2" t="str">
        <f>IF('PASTE RAW DATA HERE'!DP$8=0, "", 'PASTE RAW DATA HERE'!DP$8)</f>
        <v/>
      </c>
      <c r="DO14" s="2" t="str">
        <f>IF('PASTE RAW DATA HERE'!DQ$8=0, "", 'PASTE RAW DATA HERE'!DQ$8)</f>
        <v/>
      </c>
      <c r="DP14" s="2" t="str">
        <f>IF('PASTE RAW DATA HERE'!DR$8=0, "", 'PASTE RAW DATA HERE'!DR$8)</f>
        <v/>
      </c>
      <c r="DQ14" s="2" t="str">
        <f>IF('PASTE RAW DATA HERE'!DS$8=0, "", 'PASTE RAW DATA HERE'!DS$8)</f>
        <v/>
      </c>
      <c r="DR14" s="2" t="str">
        <f>IF('PASTE RAW DATA HERE'!DT$8=0, "", 'PASTE RAW DATA HERE'!DT$8)</f>
        <v/>
      </c>
      <c r="DS14" s="2" t="str">
        <f>IF('PASTE RAW DATA HERE'!DU$8=0, "", 'PASTE RAW DATA HERE'!DU$8)</f>
        <v/>
      </c>
      <c r="DT14" s="2" t="str">
        <f>IF('PASTE RAW DATA HERE'!DV$8=0, "", 'PASTE RAW DATA HERE'!DV$8)</f>
        <v/>
      </c>
      <c r="DU14" s="2" t="str">
        <f>IF('PASTE RAW DATA HERE'!DW$8=0, "", 'PASTE RAW DATA HERE'!DW$8)</f>
        <v/>
      </c>
      <c r="DV14" s="2" t="str">
        <f>IF('PASTE RAW DATA HERE'!DX$8=0, "", 'PASTE RAW DATA HERE'!DX$8)</f>
        <v/>
      </c>
      <c r="DW14" s="2" t="str">
        <f>IF('PASTE RAW DATA HERE'!DY$8=0, "", 'PASTE RAW DATA HERE'!DY$8)</f>
        <v/>
      </c>
      <c r="DX14" s="2" t="str">
        <f>IF('PASTE RAW DATA HERE'!DZ$8=0, "", 'PASTE RAW DATA HERE'!DZ$8)</f>
        <v/>
      </c>
      <c r="DY14" s="2" t="str">
        <f>IF('PASTE RAW DATA HERE'!EA$8=0, "", 'PASTE RAW DATA HERE'!EA$8)</f>
        <v/>
      </c>
      <c r="DZ14" s="2" t="str">
        <f>IF('PASTE RAW DATA HERE'!EB$8=0, "", 'PASTE RAW DATA HERE'!EB$8)</f>
        <v/>
      </c>
      <c r="EA14" s="2" t="str">
        <f>IF('PASTE RAW DATA HERE'!EC$8=0, "", 'PASTE RAW DATA HERE'!EC$8)</f>
        <v/>
      </c>
      <c r="EB14" s="2" t="str">
        <f>IF('PASTE RAW DATA HERE'!ED$8=0, "", 'PASTE RAW DATA HERE'!ED$8)</f>
        <v/>
      </c>
      <c r="EC14" s="2" t="str">
        <f>IF('PASTE RAW DATA HERE'!EE$8=0, "", 'PASTE RAW DATA HERE'!EE$8)</f>
        <v/>
      </c>
      <c r="ED14" s="2" t="str">
        <f>IF('PASTE RAW DATA HERE'!EF$8=0, "", 'PASTE RAW DATA HERE'!EF$8)</f>
        <v/>
      </c>
      <c r="EE14" s="2" t="str">
        <f>IF('PASTE RAW DATA HERE'!EG$8=0, "", 'PASTE RAW DATA HERE'!EG$8)</f>
        <v/>
      </c>
      <c r="EF14" s="2" t="str">
        <f>IF('PASTE RAW DATA HERE'!EH$8=0, "", 'PASTE RAW DATA HERE'!EH$8)</f>
        <v/>
      </c>
      <c r="EG14" s="2" t="str">
        <f>IF('PASTE RAW DATA HERE'!EI$8=0, "", 'PASTE RAW DATA HERE'!EI$8)</f>
        <v/>
      </c>
      <c r="EH14" s="2" t="str">
        <f>IF('PASTE RAW DATA HERE'!EJ$8=0, "", 'PASTE RAW DATA HERE'!EJ$8)</f>
        <v/>
      </c>
      <c r="EI14" s="2" t="str">
        <f>IF('PASTE RAW DATA HERE'!EK$8=0, "", 'PASTE RAW DATA HERE'!EK$8)</f>
        <v/>
      </c>
      <c r="EJ14" s="2" t="str">
        <f>IF('PASTE RAW DATA HERE'!EL$8=0, "", 'PASTE RAW DATA HERE'!EL$8)</f>
        <v/>
      </c>
      <c r="EK14" s="2" t="str">
        <f>IF('PASTE RAW DATA HERE'!EM$8=0, "", 'PASTE RAW DATA HERE'!EM$8)</f>
        <v/>
      </c>
      <c r="EL14" s="2" t="str">
        <f>IF('PASTE RAW DATA HERE'!EN$8=0, "", 'PASTE RAW DATA HERE'!EN$8)</f>
        <v/>
      </c>
      <c r="EM14" s="2" t="str">
        <f>IF('PASTE RAW DATA HERE'!EO$8=0, "", 'PASTE RAW DATA HERE'!EO$8)</f>
        <v/>
      </c>
      <c r="EN14" s="2" t="str">
        <f>IF('PASTE RAW DATA HERE'!EP$8=0, "", 'PASTE RAW DATA HERE'!EP$8)</f>
        <v/>
      </c>
      <c r="EO14" s="2" t="str">
        <f>IF('PASTE RAW DATA HERE'!EQ$8=0, "", 'PASTE RAW DATA HERE'!EQ$8)</f>
        <v/>
      </c>
      <c r="EP14" s="2" t="str">
        <f>IF('PASTE RAW DATA HERE'!ER$8=0, "", 'PASTE RAW DATA HERE'!ER$8)</f>
        <v/>
      </c>
      <c r="EQ14" s="2" t="str">
        <f>IF('PASTE RAW DATA HERE'!ES$8=0, "", 'PASTE RAW DATA HERE'!ES$8)</f>
        <v/>
      </c>
      <c r="ER14" s="2" t="str">
        <f>IF('PASTE RAW DATA HERE'!ET$8=0, "", 'PASTE RAW DATA HERE'!ET$8)</f>
        <v/>
      </c>
      <c r="ES14" s="2" t="str">
        <f>IF('PASTE RAW DATA HERE'!EU$8=0, "", 'PASTE RAW DATA HERE'!EU$8)</f>
        <v/>
      </c>
      <c r="ET14" s="2" t="str">
        <f>IF('PASTE RAW DATA HERE'!EV$8=0, "", 'PASTE RAW DATA HERE'!EV$8)</f>
        <v/>
      </c>
      <c r="EU14" s="2" t="str">
        <f>IF('PASTE RAW DATA HERE'!EW$8=0, "", 'PASTE RAW DATA HERE'!EW$8)</f>
        <v/>
      </c>
      <c r="EV14" s="2" t="str">
        <f>IF('PASTE RAW DATA HERE'!EX$8=0, "", 'PASTE RAW DATA HERE'!EX$8)</f>
        <v/>
      </c>
      <c r="EW14" s="2" t="str">
        <f>IF('PASTE RAW DATA HERE'!EY$8=0, "", 'PASTE RAW DATA HERE'!EY$8)</f>
        <v/>
      </c>
      <c r="EX14" s="2" t="str">
        <f>IF('PASTE RAW DATA HERE'!EZ$8=0, "", 'PASTE RAW DATA HERE'!EZ$8)</f>
        <v/>
      </c>
      <c r="EY14" s="2" t="str">
        <f>IF('PASTE RAW DATA HERE'!FA$8=0, "", 'PASTE RAW DATA HERE'!FA$8)</f>
        <v/>
      </c>
      <c r="EZ14" s="2" t="str">
        <f>IF('PASTE RAW DATA HERE'!FB$8=0, "", 'PASTE RAW DATA HERE'!FB$8)</f>
        <v/>
      </c>
      <c r="FA14" s="2" t="str">
        <f>IF('PASTE RAW DATA HERE'!FC$8=0, "", 'PASTE RAW DATA HERE'!FC$8)</f>
        <v/>
      </c>
      <c r="FB14" s="2" t="str">
        <f>IF('PASTE RAW DATA HERE'!FD$8=0, "", 'PASTE RAW DATA HERE'!FD$8)</f>
        <v/>
      </c>
      <c r="FC14" s="2" t="str">
        <f>IF('PASTE RAW DATA HERE'!FE$8=0, "", 'PASTE RAW DATA HERE'!FE$8)</f>
        <v/>
      </c>
      <c r="FD14" s="2" t="str">
        <f>IF('PASTE RAW DATA HERE'!FF$8=0, "", 'PASTE RAW DATA HERE'!FF$8)</f>
        <v/>
      </c>
      <c r="FE14" s="2" t="str">
        <f>IF('PASTE RAW DATA HERE'!FG$8=0, "", 'PASTE RAW DATA HERE'!FG$8)</f>
        <v/>
      </c>
      <c r="FF14" s="2" t="str">
        <f>IF('PASTE RAW DATA HERE'!FH$8=0, "", 'PASTE RAW DATA HERE'!FH$8)</f>
        <v/>
      </c>
      <c r="FG14" s="2" t="str">
        <f>IF('PASTE RAW DATA HERE'!FI$8=0, "", 'PASTE RAW DATA HERE'!FI$8)</f>
        <v/>
      </c>
      <c r="FH14" s="2" t="str">
        <f>IF('PASTE RAW DATA HERE'!FJ$8=0, "", 'PASTE RAW DATA HERE'!FJ$8)</f>
        <v/>
      </c>
      <c r="FI14" s="2" t="str">
        <f>IF('PASTE RAW DATA HERE'!FK$8=0, "", 'PASTE RAW DATA HERE'!FK$8)</f>
        <v/>
      </c>
      <c r="FJ14" s="2" t="str">
        <f>IF('PASTE RAW DATA HERE'!FL$8=0, "", 'PASTE RAW DATA HERE'!FL$8)</f>
        <v/>
      </c>
      <c r="FK14" s="2" t="str">
        <f>IF('PASTE RAW DATA HERE'!FM$8=0, "", 'PASTE RAW DATA HERE'!FM$8)</f>
        <v/>
      </c>
      <c r="FL14" s="2" t="str">
        <f>IF('PASTE RAW DATA HERE'!FN$8=0, "", 'PASTE RAW DATA HERE'!FN$8)</f>
        <v/>
      </c>
      <c r="FM14" s="2" t="str">
        <f>IF('PASTE RAW DATA HERE'!FO$8=0, "", 'PASTE RAW DATA HERE'!FO$8)</f>
        <v/>
      </c>
      <c r="FN14" s="2" t="str">
        <f>IF('PASTE RAW DATA HERE'!FP$8=0, "", 'PASTE RAW DATA HERE'!FP$8)</f>
        <v/>
      </c>
      <c r="FO14" s="2" t="str">
        <f>IF('PASTE RAW DATA HERE'!FQ$8=0, "", 'PASTE RAW DATA HERE'!FQ$8)</f>
        <v/>
      </c>
      <c r="FP14" s="2" t="str">
        <f>IF('PASTE RAW DATA HERE'!FR$8=0, "", 'PASTE RAW DATA HERE'!FR$8)</f>
        <v/>
      </c>
      <c r="FQ14" s="2" t="str">
        <f>IF('PASTE RAW DATA HERE'!FS$8=0, "", 'PASTE RAW DATA HERE'!FS$8)</f>
        <v/>
      </c>
      <c r="FR14" s="2" t="str">
        <f>IF('PASTE RAW DATA HERE'!FT$8=0, "", 'PASTE RAW DATA HERE'!FT$8)</f>
        <v/>
      </c>
      <c r="FS14" s="2" t="str">
        <f>IF('PASTE RAW DATA HERE'!FU$8=0, "", 'PASTE RAW DATA HERE'!FU$8)</f>
        <v/>
      </c>
      <c r="FT14" s="2" t="str">
        <f>IF('PASTE RAW DATA HERE'!FV$8=0, "", 'PASTE RAW DATA HERE'!FV$8)</f>
        <v/>
      </c>
      <c r="FU14" s="2" t="str">
        <f>IF('PASTE RAW DATA HERE'!FW$8=0, "", 'PASTE RAW DATA HERE'!FW$8)</f>
        <v/>
      </c>
      <c r="FV14" s="2" t="str">
        <f>IF('PASTE RAW DATA HERE'!FX$8=0, "", 'PASTE RAW DATA HERE'!FX$8)</f>
        <v/>
      </c>
      <c r="FW14" s="2" t="str">
        <f>IF('PASTE RAW DATA HERE'!FY$8=0, "", 'PASTE RAW DATA HERE'!FY$8)</f>
        <v/>
      </c>
      <c r="FX14" s="2" t="str">
        <f>IF('PASTE RAW DATA HERE'!FZ$8=0, "", 'PASTE RAW DATA HERE'!FZ$8)</f>
        <v/>
      </c>
      <c r="FY14" s="2" t="str">
        <f>IF('PASTE RAW DATA HERE'!GA$8=0, "", 'PASTE RAW DATA HERE'!GA$8)</f>
        <v/>
      </c>
      <c r="FZ14" s="2" t="str">
        <f>IF('PASTE RAW DATA HERE'!GB$8=0, "", 'PASTE RAW DATA HERE'!GB$8)</f>
        <v/>
      </c>
      <c r="GA14" s="2" t="str">
        <f>IF('PASTE RAW DATA HERE'!GC$8=0, "", 'PASTE RAW DATA HERE'!GC$8)</f>
        <v/>
      </c>
      <c r="GB14" s="2" t="str">
        <f>IF('PASTE RAW DATA HERE'!GD$8=0, "", 'PASTE RAW DATA HERE'!GD$8)</f>
        <v/>
      </c>
      <c r="GC14" s="2" t="str">
        <f>IF('PASTE RAW DATA HERE'!GE$8=0, "", 'PASTE RAW DATA HERE'!GE$8)</f>
        <v/>
      </c>
      <c r="GD14" s="2" t="str">
        <f>IF('PASTE RAW DATA HERE'!GF$8=0, "", 'PASTE RAW DATA HERE'!GF$8)</f>
        <v/>
      </c>
      <c r="GE14" s="2" t="str">
        <f>IF('PASTE RAW DATA HERE'!GG$8=0, "", 'PASTE RAW DATA HERE'!GG$8)</f>
        <v/>
      </c>
      <c r="GF14" s="2" t="str">
        <f>IF('PASTE RAW DATA HERE'!GH$8=0, "", 'PASTE RAW DATA HERE'!GH$8)</f>
        <v/>
      </c>
      <c r="GG14" s="2" t="str">
        <f>IF('PASTE RAW DATA HERE'!GI$8=0, "", 'PASTE RAW DATA HERE'!GI$8)</f>
        <v/>
      </c>
    </row>
    <row r="15" spans="1:189" x14ac:dyDescent="0.25">
      <c r="A15" s="2">
        <f>IF('PASTE RAW DATA HERE'!C$9=0, "", 'PASTE RAW DATA HERE'!C$9)</f>
        <v>29</v>
      </c>
      <c r="B15" s="2">
        <f>IF('PASTE RAW DATA HERE'!D$9=0, "", 'PASTE RAW DATA HERE'!D$9)</f>
        <v>30</v>
      </c>
      <c r="C15" s="2">
        <f>IF('PASTE RAW DATA HERE'!E$9=0, "", 'PASTE RAW DATA HERE'!E$9)</f>
        <v>31</v>
      </c>
      <c r="D15" s="2">
        <f>IF('PASTE RAW DATA HERE'!F$9=0, "", 'PASTE RAW DATA HERE'!F$9)</f>
        <v>1</v>
      </c>
      <c r="E15" s="2">
        <f>IF('PASTE RAW DATA HERE'!G$9=0, "", 'PASTE RAW DATA HERE'!G$9)</f>
        <v>2</v>
      </c>
      <c r="F15" s="2">
        <f>IF('PASTE RAW DATA HERE'!H$9=0, "", 'PASTE RAW DATA HERE'!H$9)</f>
        <v>3</v>
      </c>
      <c r="G15" s="2">
        <f>IF('PASTE RAW DATA HERE'!I$9=0, "", 'PASTE RAW DATA HERE'!I$9)</f>
        <v>4</v>
      </c>
      <c r="H15" s="2">
        <f>IF('PASTE RAW DATA HERE'!J$9=0, "", 'PASTE RAW DATA HERE'!J$9)</f>
        <v>5</v>
      </c>
      <c r="I15" s="2">
        <f>IF('PASTE RAW DATA HERE'!K$9=0, "", 'PASTE RAW DATA HERE'!K$9)</f>
        <v>6</v>
      </c>
      <c r="J15" s="2">
        <f>IF('PASTE RAW DATA HERE'!L$9=0, "", 'PASTE RAW DATA HERE'!L$9)</f>
        <v>7</v>
      </c>
      <c r="K15" s="2">
        <f>IF('PASTE RAW DATA HERE'!M$9=0, "", 'PASTE RAW DATA HERE'!M$9)</f>
        <v>8</v>
      </c>
      <c r="L15" s="2">
        <f>IF('PASTE RAW DATA HERE'!N$9=0, "", 'PASTE RAW DATA HERE'!N$9)</f>
        <v>9</v>
      </c>
      <c r="M15" s="2">
        <f>IF('PASTE RAW DATA HERE'!O$9=0, "", 'PASTE RAW DATA HERE'!O$9)</f>
        <v>10</v>
      </c>
      <c r="N15" s="2">
        <f>IF('PASTE RAW DATA HERE'!P$9=0, "", 'PASTE RAW DATA HERE'!P$9)</f>
        <v>11</v>
      </c>
      <c r="O15" s="2">
        <f>IF('PASTE RAW DATA HERE'!Q$9=0, "", 'PASTE RAW DATA HERE'!Q$9)</f>
        <v>12</v>
      </c>
      <c r="P15" s="2">
        <f>IF('PASTE RAW DATA HERE'!R$9=0, "", 'PASTE RAW DATA HERE'!R$9)</f>
        <v>13</v>
      </c>
      <c r="Q15" s="2">
        <f>IF('PASTE RAW DATA HERE'!S$9=0, "", 'PASTE RAW DATA HERE'!S$9)</f>
        <v>14</v>
      </c>
      <c r="R15" s="2">
        <f>IF('PASTE RAW DATA HERE'!T$9=0, "", 'PASTE RAW DATA HERE'!T$9)</f>
        <v>15</v>
      </c>
      <c r="S15" s="2">
        <f>IF('PASTE RAW DATA HERE'!U$9=0, "", 'PASTE RAW DATA HERE'!U$9)</f>
        <v>16</v>
      </c>
      <c r="T15" s="2">
        <f>IF('PASTE RAW DATA HERE'!V$9=0, "", 'PASTE RAW DATA HERE'!V$9)</f>
        <v>17</v>
      </c>
      <c r="U15" s="2">
        <f>IF('PASTE RAW DATA HERE'!W$9=0, "", 'PASTE RAW DATA HERE'!W$9)</f>
        <v>18</v>
      </c>
      <c r="V15" s="2">
        <f>IF('PASTE RAW DATA HERE'!X$9=0, "", 'PASTE RAW DATA HERE'!X$9)</f>
        <v>19</v>
      </c>
      <c r="W15" s="2">
        <f>IF('PASTE RAW DATA HERE'!Y$9=0, "", 'PASTE RAW DATA HERE'!Y$9)</f>
        <v>20</v>
      </c>
      <c r="X15" s="2">
        <f>IF('PASTE RAW DATA HERE'!Z$9=0, "", 'PASTE RAW DATA HERE'!Z$9)</f>
        <v>21</v>
      </c>
      <c r="Y15" s="2">
        <f>IF('PASTE RAW DATA HERE'!AA$9=0, "", 'PASTE RAW DATA HERE'!AA$9)</f>
        <v>22</v>
      </c>
      <c r="Z15" s="2">
        <f>IF('PASTE RAW DATA HERE'!AB$9=0, "", 'PASTE RAW DATA HERE'!AB$9)</f>
        <v>23</v>
      </c>
      <c r="AA15" s="2">
        <f>IF('PASTE RAW DATA HERE'!AC$9=0, "", 'PASTE RAW DATA HERE'!AC$9)</f>
        <v>24</v>
      </c>
      <c r="AB15" s="2">
        <f>IF('PASTE RAW DATA HERE'!AD$9=0, "", 'PASTE RAW DATA HERE'!AD$9)</f>
        <v>25</v>
      </c>
      <c r="AC15" s="2">
        <f>IF('PASTE RAW DATA HERE'!AE$9=0, "", 'PASTE RAW DATA HERE'!AE$9)</f>
        <v>26</v>
      </c>
      <c r="AD15" s="2">
        <f>IF('PASTE RAW DATA HERE'!AF$9=0, "", 'PASTE RAW DATA HERE'!AF$9)</f>
        <v>27</v>
      </c>
      <c r="AE15" s="2">
        <f>IF('PASTE RAW DATA HERE'!AG$9=0, "", 'PASTE RAW DATA HERE'!AG$9)</f>
        <v>28</v>
      </c>
      <c r="AF15" s="2">
        <f>IF('PASTE RAW DATA HERE'!AH$9=0, "", 'PASTE RAW DATA HERE'!AH$9)</f>
        <v>29</v>
      </c>
      <c r="AG15" s="2">
        <f>IF('PASTE RAW DATA HERE'!AI$9=0, "", 'PASTE RAW DATA HERE'!AI$9)</f>
        <v>30</v>
      </c>
      <c r="AH15" s="2">
        <f>IF('PASTE RAW DATA HERE'!AJ$9=0, "", 'PASTE RAW DATA HERE'!AJ$9)</f>
        <v>31</v>
      </c>
      <c r="AI15" s="2">
        <f>IF('PASTE RAW DATA HERE'!AK$9=0, "", 'PASTE RAW DATA HERE'!AK$9)</f>
        <v>1</v>
      </c>
      <c r="AJ15" s="2">
        <f>IF('PASTE RAW DATA HERE'!AL$9=0, "", 'PASTE RAW DATA HERE'!AL$9)</f>
        <v>2</v>
      </c>
      <c r="AK15" s="2">
        <f>IF('PASTE RAW DATA HERE'!AM$9=0, "", 'PASTE RAW DATA HERE'!AM$9)</f>
        <v>3</v>
      </c>
      <c r="AL15" s="2">
        <f>IF('PASTE RAW DATA HERE'!AN$9=0, "", 'PASTE RAW DATA HERE'!AN$9)</f>
        <v>4</v>
      </c>
      <c r="AM15" s="2">
        <f>IF('PASTE RAW DATA HERE'!AO$9=0, "", 'PASTE RAW DATA HERE'!AO$9)</f>
        <v>5</v>
      </c>
      <c r="AN15" s="2">
        <f>IF('PASTE RAW DATA HERE'!AP$9=0, "", 'PASTE RAW DATA HERE'!AP$9)</f>
        <v>6</v>
      </c>
      <c r="AO15" s="2">
        <f>IF('PASTE RAW DATA HERE'!AQ$9=0, "", 'PASTE RAW DATA HERE'!AQ$9)</f>
        <v>7</v>
      </c>
      <c r="AP15" s="2">
        <f>IF('PASTE RAW DATA HERE'!AR$9=0, "", 'PASTE RAW DATA HERE'!AR$9)</f>
        <v>8</v>
      </c>
      <c r="AQ15" s="2">
        <f>IF('PASTE RAW DATA HERE'!AS$9=0, "", 'PASTE RAW DATA HERE'!AS$9)</f>
        <v>9</v>
      </c>
      <c r="AR15" s="2">
        <f>IF('PASTE RAW DATA HERE'!AT$9=0, "", 'PASTE RAW DATA HERE'!AT$9)</f>
        <v>10</v>
      </c>
      <c r="AS15" s="2">
        <f>IF('PASTE RAW DATA HERE'!AU$9=0, "", 'PASTE RAW DATA HERE'!AU$9)</f>
        <v>11</v>
      </c>
      <c r="AT15" s="2">
        <f>IF('PASTE RAW DATA HERE'!AV$9=0, "", 'PASTE RAW DATA HERE'!AV$9)</f>
        <v>12</v>
      </c>
      <c r="AU15" s="2">
        <f>IF('PASTE RAW DATA HERE'!AW$9=0, "", 'PASTE RAW DATA HERE'!AW$9)</f>
        <v>13</v>
      </c>
      <c r="AV15" s="2">
        <f>IF('PASTE RAW DATA HERE'!AX$9=0, "", 'PASTE RAW DATA HERE'!AX$9)</f>
        <v>14</v>
      </c>
      <c r="AW15" s="2">
        <f>IF('PASTE RAW DATA HERE'!AY$9=0, "", 'PASTE RAW DATA HERE'!AY$9)</f>
        <v>15</v>
      </c>
      <c r="AX15" s="2">
        <f>IF('PASTE RAW DATA HERE'!AZ$9=0, "", 'PASTE RAW DATA HERE'!AZ$9)</f>
        <v>16</v>
      </c>
      <c r="AY15" s="2">
        <f>IF('PASTE RAW DATA HERE'!BA$9=0, "", 'PASTE RAW DATA HERE'!BA$9)</f>
        <v>17</v>
      </c>
      <c r="AZ15" s="2">
        <f>IF('PASTE RAW DATA HERE'!BB$9=0, "", 'PASTE RAW DATA HERE'!BB$9)</f>
        <v>18</v>
      </c>
      <c r="BA15" s="2">
        <f>IF('PASTE RAW DATA HERE'!BC$9=0, "", 'PASTE RAW DATA HERE'!BC$9)</f>
        <v>19</v>
      </c>
      <c r="BB15" s="2">
        <f>IF('PASTE RAW DATA HERE'!BD$9=0, "", 'PASTE RAW DATA HERE'!BD$9)</f>
        <v>20</v>
      </c>
      <c r="BC15" s="2">
        <f>IF('PASTE RAW DATA HERE'!BE$9=0, "", 'PASTE RAW DATA HERE'!BE$9)</f>
        <v>21</v>
      </c>
      <c r="BD15" s="2">
        <f>IF('PASTE RAW DATA HERE'!BF$9=0, "", 'PASTE RAW DATA HERE'!BF$9)</f>
        <v>22</v>
      </c>
      <c r="BE15" s="2">
        <f>IF('PASTE RAW DATA HERE'!BG$9=0, "", 'PASTE RAW DATA HERE'!BG$9)</f>
        <v>23</v>
      </c>
      <c r="BF15" s="2">
        <f>IF('PASTE RAW DATA HERE'!BH$9=0, "", 'PASTE RAW DATA HERE'!BH$9)</f>
        <v>24</v>
      </c>
      <c r="BG15" s="2">
        <f>IF('PASTE RAW DATA HERE'!BI$9=0, "", 'PASTE RAW DATA HERE'!BI$9)</f>
        <v>25</v>
      </c>
      <c r="BH15" s="2">
        <f>IF('PASTE RAW DATA HERE'!BJ$9=0, "", 'PASTE RAW DATA HERE'!BJ$9)</f>
        <v>26</v>
      </c>
      <c r="BI15" s="2">
        <f>IF('PASTE RAW DATA HERE'!BK$9=0, "", 'PASTE RAW DATA HERE'!BK$9)</f>
        <v>27</v>
      </c>
      <c r="BJ15" s="2">
        <f>IF('PASTE RAW DATA HERE'!BL$9=0, "", 'PASTE RAW DATA HERE'!BL$9)</f>
        <v>28</v>
      </c>
      <c r="BK15" s="2">
        <f>IF('PASTE RAW DATA HERE'!BM$9=0, "", 'PASTE RAW DATA HERE'!BM$9)</f>
        <v>1</v>
      </c>
      <c r="BL15" s="2">
        <f>IF('PASTE RAW DATA HERE'!BN$9=0, "", 'PASTE RAW DATA HERE'!BN$9)</f>
        <v>2</v>
      </c>
      <c r="BM15" s="2">
        <f>IF('PASTE RAW DATA HERE'!BO$9=0, "", 'PASTE RAW DATA HERE'!BO$9)</f>
        <v>3</v>
      </c>
      <c r="BN15" s="2">
        <f>IF('PASTE RAW DATA HERE'!BP$9=0, "", 'PASTE RAW DATA HERE'!BP$9)</f>
        <v>4</v>
      </c>
      <c r="BO15" s="2">
        <f>IF('PASTE RAW DATA HERE'!BQ$9=0, "", 'PASTE RAW DATA HERE'!BQ$9)</f>
        <v>5</v>
      </c>
      <c r="BP15" s="2">
        <f>IF('PASTE RAW DATA HERE'!BR$9=0, "", 'PASTE RAW DATA HERE'!BR$9)</f>
        <v>6</v>
      </c>
      <c r="BQ15" s="2">
        <f>IF('PASTE RAW DATA HERE'!BS$9=0, "", 'PASTE RAW DATA HERE'!BS$9)</f>
        <v>7</v>
      </c>
      <c r="BR15" s="2">
        <f>IF('PASTE RAW DATA HERE'!BT$9=0, "", 'PASTE RAW DATA HERE'!BT$9)</f>
        <v>8</v>
      </c>
      <c r="BS15" s="2">
        <f>IF('PASTE RAW DATA HERE'!BU$9=0, "", 'PASTE RAW DATA HERE'!BU$9)</f>
        <v>9</v>
      </c>
      <c r="BT15" s="2">
        <f>IF('PASTE RAW DATA HERE'!BV$9=0, "", 'PASTE RAW DATA HERE'!BV$9)</f>
        <v>10</v>
      </c>
      <c r="BU15" s="2">
        <f>IF('PASTE RAW DATA HERE'!BW$9=0, "", 'PASTE RAW DATA HERE'!BW$9)</f>
        <v>11</v>
      </c>
      <c r="BV15" s="2">
        <f>IF('PASTE RAW DATA HERE'!BX$9=0, "", 'PASTE RAW DATA HERE'!BX$9)</f>
        <v>12</v>
      </c>
      <c r="BW15" s="2">
        <f>IF('PASTE RAW DATA HERE'!BY$9=0, "", 'PASTE RAW DATA HERE'!BY$9)</f>
        <v>13</v>
      </c>
      <c r="BX15" s="2">
        <f>IF('PASTE RAW DATA HERE'!BZ$9=0, "", 'PASTE RAW DATA HERE'!BZ$9)</f>
        <v>14</v>
      </c>
      <c r="BY15" s="2">
        <f>IF('PASTE RAW DATA HERE'!CA$9=0, "", 'PASTE RAW DATA HERE'!CA$9)</f>
        <v>15</v>
      </c>
      <c r="BZ15" s="2">
        <f>IF('PASTE RAW DATA HERE'!CB$9=0, "", 'PASTE RAW DATA HERE'!CB$9)</f>
        <v>16</v>
      </c>
      <c r="CA15" s="2">
        <f>IF('PASTE RAW DATA HERE'!CC$9=0, "", 'PASTE RAW DATA HERE'!CC$9)</f>
        <v>17</v>
      </c>
      <c r="CB15" s="2">
        <f>IF('PASTE RAW DATA HERE'!CD$9=0, "", 'PASTE RAW DATA HERE'!CD$9)</f>
        <v>18</v>
      </c>
      <c r="CC15" s="2">
        <f>IF('PASTE RAW DATA HERE'!CE$9=0, "", 'PASTE RAW DATA HERE'!CE$9)</f>
        <v>19</v>
      </c>
      <c r="CD15" s="2">
        <f>IF('PASTE RAW DATA HERE'!CF$9=0, "", 'PASTE RAW DATA HERE'!CF$9)</f>
        <v>20</v>
      </c>
      <c r="CE15" s="2">
        <f>IF('PASTE RAW DATA HERE'!CG$9=0, "", 'PASTE RAW DATA HERE'!CG$9)</f>
        <v>21</v>
      </c>
      <c r="CF15" s="2">
        <f>IF('PASTE RAW DATA HERE'!CH$9=0, "", 'PASTE RAW DATA HERE'!CH$9)</f>
        <v>22</v>
      </c>
      <c r="CG15" s="2">
        <f>IF('PASTE RAW DATA HERE'!CI$9=0, "", 'PASTE RAW DATA HERE'!CI$9)</f>
        <v>23</v>
      </c>
      <c r="CH15" s="2">
        <f>IF('PASTE RAW DATA HERE'!CJ$9=0, "", 'PASTE RAW DATA HERE'!CJ$9)</f>
        <v>24</v>
      </c>
      <c r="CI15" s="2">
        <f>IF('PASTE RAW DATA HERE'!CK$9=0, "", 'PASTE RAW DATA HERE'!CK$9)</f>
        <v>25</v>
      </c>
      <c r="CJ15" s="2">
        <f>IF('PASTE RAW DATA HERE'!CL$9=0, "", 'PASTE RAW DATA HERE'!CL$9)</f>
        <v>26</v>
      </c>
      <c r="CK15" s="2">
        <f>IF('PASTE RAW DATA HERE'!CM$9=0, "", 'PASTE RAW DATA HERE'!CM$9)</f>
        <v>27</v>
      </c>
      <c r="CL15" s="2">
        <f>IF('PASTE RAW DATA HERE'!CN$9=0, "", 'PASTE RAW DATA HERE'!CN$9)</f>
        <v>28</v>
      </c>
      <c r="CM15" s="2">
        <f>IF('PASTE RAW DATA HERE'!CO$9=0, "", 'PASTE RAW DATA HERE'!CO$9)</f>
        <v>29</v>
      </c>
      <c r="CN15" s="2">
        <f>IF('PASTE RAW DATA HERE'!CP$9=0, "", 'PASTE RAW DATA HERE'!CP$9)</f>
        <v>30</v>
      </c>
      <c r="CO15" s="2">
        <f>IF('PASTE RAW DATA HERE'!CQ$9=0, "", 'PASTE RAW DATA HERE'!CQ$9)</f>
        <v>31</v>
      </c>
      <c r="CP15" s="2">
        <f>IF('PASTE RAW DATA HERE'!CR$9=0, "", 'PASTE RAW DATA HERE'!CR$9)</f>
        <v>1</v>
      </c>
      <c r="CQ15" s="2">
        <f>IF('PASTE RAW DATA HERE'!CS$9=0, "", 'PASTE RAW DATA HERE'!CS$9)</f>
        <v>2</v>
      </c>
      <c r="CR15" s="2">
        <f>IF('PASTE RAW DATA HERE'!CT$9=0, "", 'PASTE RAW DATA HERE'!CT$9)</f>
        <v>3</v>
      </c>
      <c r="CS15" s="2">
        <f>IF('PASTE RAW DATA HERE'!CU$9=0, "", 'PASTE RAW DATA HERE'!CU$9)</f>
        <v>4</v>
      </c>
      <c r="CT15" s="2">
        <f>IF('PASTE RAW DATA HERE'!CV$9=0, "", 'PASTE RAW DATA HERE'!CV$9)</f>
        <v>5</v>
      </c>
      <c r="CU15" s="2">
        <f>IF('PASTE RAW DATA HERE'!CW$9=0, "", 'PASTE RAW DATA HERE'!CW$9)</f>
        <v>6</v>
      </c>
      <c r="CV15" s="2">
        <f>IF('PASTE RAW DATA HERE'!CX$9=0, "", 'PASTE RAW DATA HERE'!CX$9)</f>
        <v>7</v>
      </c>
      <c r="CW15" s="2">
        <f>IF('PASTE RAW DATA HERE'!CY$9=0, "", 'PASTE RAW DATA HERE'!CY$9)</f>
        <v>8</v>
      </c>
      <c r="CX15" s="2">
        <f>IF('PASTE RAW DATA HERE'!CZ$9=0, "", 'PASTE RAW DATA HERE'!CZ$9)</f>
        <v>9</v>
      </c>
      <c r="CY15" s="2">
        <f>IF('PASTE RAW DATA HERE'!DA$9=0, "", 'PASTE RAW DATA HERE'!DA$9)</f>
        <v>10</v>
      </c>
      <c r="CZ15" s="2">
        <f>IF('PASTE RAW DATA HERE'!DB$9=0, "", 'PASTE RAW DATA HERE'!DB$9)</f>
        <v>11</v>
      </c>
      <c r="DA15" s="2">
        <f>IF('PASTE RAW DATA HERE'!DC$9=0, "", 'PASTE RAW DATA HERE'!DC$9)</f>
        <v>12</v>
      </c>
      <c r="DB15" s="2">
        <f>IF('PASTE RAW DATA HERE'!DD$9=0, "", 'PASTE RAW DATA HERE'!DD$9)</f>
        <v>13</v>
      </c>
      <c r="DC15" s="2">
        <f>IF('PASTE RAW DATA HERE'!DE$9=0, "", 'PASTE RAW DATA HERE'!DE$9)</f>
        <v>14</v>
      </c>
      <c r="DD15" s="2">
        <f>IF('PASTE RAW DATA HERE'!DF$9=0, "", 'PASTE RAW DATA HERE'!DF$9)</f>
        <v>15</v>
      </c>
      <c r="DE15" s="2">
        <f>IF('PASTE RAW DATA HERE'!DG$9=0, "", 'PASTE RAW DATA HERE'!DG$9)</f>
        <v>16</v>
      </c>
      <c r="DF15" s="2">
        <f>IF('PASTE RAW DATA HERE'!DH$9=0, "", 'PASTE RAW DATA HERE'!DH$9)</f>
        <v>17</v>
      </c>
      <c r="DG15" s="2">
        <f>IF('PASTE RAW DATA HERE'!DI$9=0, "", 'PASTE RAW DATA HERE'!DI$9)</f>
        <v>18</v>
      </c>
      <c r="DH15" s="2">
        <f>IF('PASTE RAW DATA HERE'!DJ$9=0, "", 'PASTE RAW DATA HERE'!DJ$9)</f>
        <v>19</v>
      </c>
      <c r="DI15" s="2" t="str">
        <f>IF('PASTE RAW DATA HERE'!DK$9=0, "", 'PASTE RAW DATA HERE'!DK$9)</f>
        <v/>
      </c>
      <c r="DJ15" s="2" t="str">
        <f>IF('PASTE RAW DATA HERE'!DL$9=0, "", 'PASTE RAW DATA HERE'!DL$9)</f>
        <v/>
      </c>
      <c r="DK15" s="2" t="str">
        <f>IF('PASTE RAW DATA HERE'!DM$9=0, "", 'PASTE RAW DATA HERE'!DM$9)</f>
        <v/>
      </c>
      <c r="DL15" s="2" t="str">
        <f>IF('PASTE RAW DATA HERE'!DN$9=0, "", 'PASTE RAW DATA HERE'!DN$9)</f>
        <v/>
      </c>
      <c r="DM15" s="2" t="str">
        <f>IF('PASTE RAW DATA HERE'!DO$9=0, "", 'PASTE RAW DATA HERE'!DO$9)</f>
        <v/>
      </c>
      <c r="DN15" s="2" t="str">
        <f>IF('PASTE RAW DATA HERE'!DP$9=0, "", 'PASTE RAW DATA HERE'!DP$9)</f>
        <v/>
      </c>
      <c r="DO15" s="2" t="str">
        <f>IF('PASTE RAW DATA HERE'!DQ$9=0, "", 'PASTE RAW DATA HERE'!DQ$9)</f>
        <v/>
      </c>
      <c r="DP15" s="2" t="str">
        <f>IF('PASTE RAW DATA HERE'!DR$9=0, "", 'PASTE RAW DATA HERE'!DR$9)</f>
        <v/>
      </c>
      <c r="DQ15" s="2" t="str">
        <f>IF('PASTE RAW DATA HERE'!DS$9=0, "", 'PASTE RAW DATA HERE'!DS$9)</f>
        <v/>
      </c>
      <c r="DR15" s="2" t="str">
        <f>IF('PASTE RAW DATA HERE'!DT$9=0, "", 'PASTE RAW DATA HERE'!DT$9)</f>
        <v/>
      </c>
      <c r="DS15" s="2" t="str">
        <f>IF('PASTE RAW DATA HERE'!DU$9=0, "", 'PASTE RAW DATA HERE'!DU$9)</f>
        <v/>
      </c>
      <c r="DT15" s="2" t="str">
        <f>IF('PASTE RAW DATA HERE'!DV$9=0, "", 'PASTE RAW DATA HERE'!DV$9)</f>
        <v/>
      </c>
      <c r="DU15" s="2" t="str">
        <f>IF('PASTE RAW DATA HERE'!DW$9=0, "", 'PASTE RAW DATA HERE'!DW$9)</f>
        <v/>
      </c>
      <c r="DV15" s="2" t="str">
        <f>IF('PASTE RAW DATA HERE'!DX$9=0, "", 'PASTE RAW DATA HERE'!DX$9)</f>
        <v/>
      </c>
      <c r="DW15" s="2" t="str">
        <f>IF('PASTE RAW DATA HERE'!DY$9=0, "", 'PASTE RAW DATA HERE'!DY$9)</f>
        <v/>
      </c>
      <c r="DX15" s="2" t="str">
        <f>IF('PASTE RAW DATA HERE'!DZ$9=0, "", 'PASTE RAW DATA HERE'!DZ$9)</f>
        <v/>
      </c>
      <c r="DY15" s="2" t="str">
        <f>IF('PASTE RAW DATA HERE'!EA$9=0, "", 'PASTE RAW DATA HERE'!EA$9)</f>
        <v/>
      </c>
      <c r="DZ15" s="2" t="str">
        <f>IF('PASTE RAW DATA HERE'!EB$9=0, "", 'PASTE RAW DATA HERE'!EB$9)</f>
        <v/>
      </c>
      <c r="EA15" s="2" t="str">
        <f>IF('PASTE RAW DATA HERE'!EC$9=0, "", 'PASTE RAW DATA HERE'!EC$9)</f>
        <v/>
      </c>
      <c r="EB15" s="2" t="str">
        <f>IF('PASTE RAW DATA HERE'!ED$9=0, "", 'PASTE RAW DATA HERE'!ED$9)</f>
        <v/>
      </c>
      <c r="EC15" s="2" t="str">
        <f>IF('PASTE RAW DATA HERE'!EE$9=0, "", 'PASTE RAW DATA HERE'!EE$9)</f>
        <v/>
      </c>
      <c r="ED15" s="2" t="str">
        <f>IF('PASTE RAW DATA HERE'!EF$9=0, "", 'PASTE RAW DATA HERE'!EF$9)</f>
        <v/>
      </c>
      <c r="EE15" s="2" t="str">
        <f>IF('PASTE RAW DATA HERE'!EG$9=0, "", 'PASTE RAW DATA HERE'!EG$9)</f>
        <v/>
      </c>
      <c r="EF15" s="2" t="str">
        <f>IF('PASTE RAW DATA HERE'!EH$9=0, "", 'PASTE RAW DATA HERE'!EH$9)</f>
        <v/>
      </c>
      <c r="EG15" s="2" t="str">
        <f>IF('PASTE RAW DATA HERE'!EI$9=0, "", 'PASTE RAW DATA HERE'!EI$9)</f>
        <v/>
      </c>
      <c r="EH15" s="2" t="str">
        <f>IF('PASTE RAW DATA HERE'!EJ$9=0, "", 'PASTE RAW DATA HERE'!EJ$9)</f>
        <v/>
      </c>
      <c r="EI15" s="2" t="str">
        <f>IF('PASTE RAW DATA HERE'!EK$9=0, "", 'PASTE RAW DATA HERE'!EK$9)</f>
        <v/>
      </c>
      <c r="EJ15" s="2" t="str">
        <f>IF('PASTE RAW DATA HERE'!EL$9=0, "", 'PASTE RAW DATA HERE'!EL$9)</f>
        <v/>
      </c>
      <c r="EK15" s="2" t="str">
        <f>IF('PASTE RAW DATA HERE'!EM$9=0, "", 'PASTE RAW DATA HERE'!EM$9)</f>
        <v/>
      </c>
      <c r="EL15" s="2" t="str">
        <f>IF('PASTE RAW DATA HERE'!EN$9=0, "", 'PASTE RAW DATA HERE'!EN$9)</f>
        <v/>
      </c>
      <c r="EM15" s="2" t="str">
        <f>IF('PASTE RAW DATA HERE'!EO$9=0, "", 'PASTE RAW DATA HERE'!EO$9)</f>
        <v/>
      </c>
      <c r="EN15" s="2" t="str">
        <f>IF('PASTE RAW DATA HERE'!EP$9=0, "", 'PASTE RAW DATA HERE'!EP$9)</f>
        <v/>
      </c>
      <c r="EO15" s="2" t="str">
        <f>IF('PASTE RAW DATA HERE'!EQ$9=0, "", 'PASTE RAW DATA HERE'!EQ$9)</f>
        <v/>
      </c>
      <c r="EP15" s="2" t="str">
        <f>IF('PASTE RAW DATA HERE'!ER$9=0, "", 'PASTE RAW DATA HERE'!ER$9)</f>
        <v/>
      </c>
      <c r="EQ15" s="2" t="str">
        <f>IF('PASTE RAW DATA HERE'!ES$9=0, "", 'PASTE RAW DATA HERE'!ES$9)</f>
        <v/>
      </c>
      <c r="ER15" s="2" t="str">
        <f>IF('PASTE RAW DATA HERE'!ET$9=0, "", 'PASTE RAW DATA HERE'!ET$9)</f>
        <v/>
      </c>
      <c r="ES15" s="2" t="str">
        <f>IF('PASTE RAW DATA HERE'!EU$9=0, "", 'PASTE RAW DATA HERE'!EU$9)</f>
        <v/>
      </c>
      <c r="ET15" s="2" t="str">
        <f>IF('PASTE RAW DATA HERE'!EV$9=0, "", 'PASTE RAW DATA HERE'!EV$9)</f>
        <v/>
      </c>
      <c r="EU15" s="2" t="str">
        <f>IF('PASTE RAW DATA HERE'!EW$9=0, "", 'PASTE RAW DATA HERE'!EW$9)</f>
        <v/>
      </c>
      <c r="EV15" s="2" t="str">
        <f>IF('PASTE RAW DATA HERE'!EX$9=0, "", 'PASTE RAW DATA HERE'!EX$9)</f>
        <v/>
      </c>
      <c r="EW15" s="2" t="str">
        <f>IF('PASTE RAW DATA HERE'!EY$9=0, "", 'PASTE RAW DATA HERE'!EY$9)</f>
        <v/>
      </c>
      <c r="EX15" s="2" t="str">
        <f>IF('PASTE RAW DATA HERE'!EZ$9=0, "", 'PASTE RAW DATA HERE'!EZ$9)</f>
        <v/>
      </c>
      <c r="EY15" s="2" t="str">
        <f>IF('PASTE RAW DATA HERE'!FA$9=0, "", 'PASTE RAW DATA HERE'!FA$9)</f>
        <v/>
      </c>
      <c r="EZ15" s="2" t="str">
        <f>IF('PASTE RAW DATA HERE'!FB$9=0, "", 'PASTE RAW DATA HERE'!FB$9)</f>
        <v/>
      </c>
      <c r="FA15" s="2" t="str">
        <f>IF('PASTE RAW DATA HERE'!FC$9=0, "", 'PASTE RAW DATA HERE'!FC$9)</f>
        <v/>
      </c>
      <c r="FB15" s="2" t="str">
        <f>IF('PASTE RAW DATA HERE'!FD$9=0, "", 'PASTE RAW DATA HERE'!FD$9)</f>
        <v/>
      </c>
      <c r="FC15" s="2" t="str">
        <f>IF('PASTE RAW DATA HERE'!FE$9=0, "", 'PASTE RAW DATA HERE'!FE$9)</f>
        <v/>
      </c>
      <c r="FD15" s="2" t="str">
        <f>IF('PASTE RAW DATA HERE'!FF$9=0, "", 'PASTE RAW DATA HERE'!FF$9)</f>
        <v/>
      </c>
      <c r="FE15" s="2" t="str">
        <f>IF('PASTE RAW DATA HERE'!FG$9=0, "", 'PASTE RAW DATA HERE'!FG$9)</f>
        <v/>
      </c>
      <c r="FF15" s="2" t="str">
        <f>IF('PASTE RAW DATA HERE'!FH$9=0, "", 'PASTE RAW DATA HERE'!FH$9)</f>
        <v/>
      </c>
      <c r="FG15" s="2" t="str">
        <f>IF('PASTE RAW DATA HERE'!FI$9=0, "", 'PASTE RAW DATA HERE'!FI$9)</f>
        <v/>
      </c>
      <c r="FH15" s="2" t="str">
        <f>IF('PASTE RAW DATA HERE'!FJ$9=0, "", 'PASTE RAW DATA HERE'!FJ$9)</f>
        <v/>
      </c>
      <c r="FI15" s="2" t="str">
        <f>IF('PASTE RAW DATA HERE'!FK$9=0, "", 'PASTE RAW DATA HERE'!FK$9)</f>
        <v/>
      </c>
      <c r="FJ15" s="2" t="str">
        <f>IF('PASTE RAW DATA HERE'!FL$9=0, "", 'PASTE RAW DATA HERE'!FL$9)</f>
        <v/>
      </c>
      <c r="FK15" s="2" t="str">
        <f>IF('PASTE RAW DATA HERE'!FM$9=0, "", 'PASTE RAW DATA HERE'!FM$9)</f>
        <v/>
      </c>
      <c r="FL15" s="2" t="str">
        <f>IF('PASTE RAW DATA HERE'!FN$9=0, "", 'PASTE RAW DATA HERE'!FN$9)</f>
        <v/>
      </c>
      <c r="FM15" s="2" t="str">
        <f>IF('PASTE RAW DATA HERE'!FO$9=0, "", 'PASTE RAW DATA HERE'!FO$9)</f>
        <v/>
      </c>
      <c r="FN15" s="2" t="str">
        <f>IF('PASTE RAW DATA HERE'!FP$9=0, "", 'PASTE RAW DATA HERE'!FP$9)</f>
        <v/>
      </c>
      <c r="FO15" s="2" t="str">
        <f>IF('PASTE RAW DATA HERE'!FQ$9=0, "", 'PASTE RAW DATA HERE'!FQ$9)</f>
        <v/>
      </c>
      <c r="FP15" s="2" t="str">
        <f>IF('PASTE RAW DATA HERE'!FR$9=0, "", 'PASTE RAW DATA HERE'!FR$9)</f>
        <v/>
      </c>
      <c r="FQ15" s="2" t="str">
        <f>IF('PASTE RAW DATA HERE'!FS$9=0, "", 'PASTE RAW DATA HERE'!FS$9)</f>
        <v/>
      </c>
      <c r="FR15" s="2" t="str">
        <f>IF('PASTE RAW DATA HERE'!FT$9=0, "", 'PASTE RAW DATA HERE'!FT$9)</f>
        <v/>
      </c>
      <c r="FS15" s="2" t="str">
        <f>IF('PASTE RAW DATA HERE'!FU$9=0, "", 'PASTE RAW DATA HERE'!FU$9)</f>
        <v/>
      </c>
      <c r="FT15" s="2" t="str">
        <f>IF('PASTE RAW DATA HERE'!FV$9=0, "", 'PASTE RAW DATA HERE'!FV$9)</f>
        <v/>
      </c>
      <c r="FU15" s="2" t="str">
        <f>IF('PASTE RAW DATA HERE'!FW$9=0, "", 'PASTE RAW DATA HERE'!FW$9)</f>
        <v/>
      </c>
      <c r="FV15" s="2" t="str">
        <f>IF('PASTE RAW DATA HERE'!FX$9=0, "", 'PASTE RAW DATA HERE'!FX$9)</f>
        <v/>
      </c>
      <c r="FW15" s="2" t="str">
        <f>IF('PASTE RAW DATA HERE'!FY$9=0, "", 'PASTE RAW DATA HERE'!FY$9)</f>
        <v/>
      </c>
      <c r="FX15" s="2" t="str">
        <f>IF('PASTE RAW DATA HERE'!FZ$9=0, "", 'PASTE RAW DATA HERE'!FZ$9)</f>
        <v/>
      </c>
      <c r="FY15" s="2" t="str">
        <f>IF('PASTE RAW DATA HERE'!GA$9=0, "", 'PASTE RAW DATA HERE'!GA$9)</f>
        <v/>
      </c>
      <c r="FZ15" s="2" t="str">
        <f>IF('PASTE RAW DATA HERE'!GB$9=0, "", 'PASTE RAW DATA HERE'!GB$9)</f>
        <v/>
      </c>
      <c r="GA15" s="2" t="str">
        <f>IF('PASTE RAW DATA HERE'!GC$9=0, "", 'PASTE RAW DATA HERE'!GC$9)</f>
        <v/>
      </c>
      <c r="GB15" s="2" t="str">
        <f>IF('PASTE RAW DATA HERE'!GD$9=0, "", 'PASTE RAW DATA HERE'!GD$9)</f>
        <v/>
      </c>
      <c r="GC15" s="2" t="str">
        <f>IF('PASTE RAW DATA HERE'!GE$9=0, "", 'PASTE RAW DATA HERE'!GE$9)</f>
        <v/>
      </c>
      <c r="GD15" s="2" t="str">
        <f>IF('PASTE RAW DATA HERE'!GF$9=0, "", 'PASTE RAW DATA HERE'!GF$9)</f>
        <v/>
      </c>
      <c r="GE15" s="2" t="str">
        <f>IF('PASTE RAW DATA HERE'!GG$9=0, "", 'PASTE RAW DATA HERE'!GG$9)</f>
        <v/>
      </c>
      <c r="GF15" s="2" t="str">
        <f>IF('PASTE RAW DATA HERE'!GH$9=0, "", 'PASTE RAW DATA HERE'!GH$9)</f>
        <v/>
      </c>
      <c r="GG15" s="2" t="str">
        <f>IF('PASTE RAW DATA HERE'!GI$9=0, "", 'PASTE RAW DATA HERE'!GI$9)</f>
        <v/>
      </c>
    </row>
    <row r="16" spans="1:189" x14ac:dyDescent="0.25">
      <c r="A16" s="5">
        <f>IFERROR(DATEVALUE(A15&amp;" "&amp;A14&amp;" "&amp;Calculation!K8), "")</f>
        <v>43828</v>
      </c>
      <c r="B16" s="5">
        <f>IFERROR(DATEVALUE(B15&amp;" "&amp;B14&amp;" "&amp;Calculation!L8), "")</f>
        <v>43829</v>
      </c>
      <c r="C16" s="5">
        <f>IFERROR(DATEVALUE(C15&amp;" "&amp;C14&amp;" "&amp;Calculation!M8), "")</f>
        <v>43830</v>
      </c>
      <c r="D16" s="5">
        <f>IFERROR(DATEVALUE(D15&amp;" "&amp;D14&amp;" "&amp;Calculation!N8), "")</f>
        <v>43466</v>
      </c>
      <c r="E16" s="5">
        <f>IFERROR(DATEVALUE(E15&amp;" "&amp;E14&amp;" "&amp;Calculation!O8), "")</f>
        <v>43467</v>
      </c>
      <c r="F16" s="5">
        <f>IFERROR(DATEVALUE(F15&amp;" "&amp;F14&amp;" "&amp;Calculation!P8), "")</f>
        <v>43468</v>
      </c>
      <c r="G16" s="5">
        <f>IFERROR(DATEVALUE(G15&amp;" "&amp;G14&amp;" "&amp;Calculation!Q8), "")</f>
        <v>43469</v>
      </c>
      <c r="H16" s="5">
        <f>IFERROR(DATEVALUE(H15&amp;" "&amp;H14&amp;" "&amp;Calculation!R8), "")</f>
        <v>43470</v>
      </c>
      <c r="I16" s="5">
        <f>IFERROR(DATEVALUE(I15&amp;" "&amp;I14&amp;" "&amp;Calculation!S8), "")</f>
        <v>43471</v>
      </c>
      <c r="J16" s="5">
        <f>IFERROR(DATEVALUE(J15&amp;" "&amp;J14&amp;" "&amp;Calculation!T8), "")</f>
        <v>43472</v>
      </c>
      <c r="K16" s="5">
        <f>IFERROR(DATEVALUE(K15&amp;" "&amp;K14&amp;" "&amp;Calculation!U8), "")</f>
        <v>43473</v>
      </c>
      <c r="L16" s="5">
        <f>IFERROR(DATEVALUE(L15&amp;" "&amp;L14&amp;" "&amp;Calculation!V8), "")</f>
        <v>43474</v>
      </c>
      <c r="M16" s="5">
        <f>IFERROR(DATEVALUE(M15&amp;" "&amp;M14&amp;" "&amp;Calculation!W8), "")</f>
        <v>43475</v>
      </c>
      <c r="N16" s="5">
        <f>IFERROR(DATEVALUE(N15&amp;" "&amp;N14&amp;" "&amp;Calculation!X8), "")</f>
        <v>43476</v>
      </c>
      <c r="O16" s="5">
        <f>IFERROR(DATEVALUE(O15&amp;" "&amp;O14&amp;" "&amp;Calculation!Y8), "")</f>
        <v>43477</v>
      </c>
      <c r="P16" s="5">
        <f>IFERROR(DATEVALUE(P15&amp;" "&amp;P14&amp;" "&amp;Calculation!Z8), "")</f>
        <v>43478</v>
      </c>
      <c r="Q16" s="5">
        <f>IFERROR(DATEVALUE(Q15&amp;" "&amp;Q14&amp;" "&amp;Calculation!AA8), "")</f>
        <v>43479</v>
      </c>
      <c r="R16" s="5">
        <f>IFERROR(DATEVALUE(R15&amp;" "&amp;R14&amp;" "&amp;Calculation!AB8), "")</f>
        <v>43480</v>
      </c>
      <c r="S16" s="5">
        <f>IFERROR(DATEVALUE(S15&amp;" "&amp;S14&amp;" "&amp;Calculation!AC8), "")</f>
        <v>43481</v>
      </c>
      <c r="T16" s="5">
        <f>IFERROR(DATEVALUE(T15&amp;" "&amp;T14&amp;" "&amp;Calculation!AD8), "")</f>
        <v>43482</v>
      </c>
      <c r="U16" s="5">
        <f>IFERROR(DATEVALUE(U15&amp;" "&amp;U14&amp;" "&amp;Calculation!AE8), "")</f>
        <v>43483</v>
      </c>
      <c r="V16" s="5">
        <f>IFERROR(DATEVALUE(V15&amp;" "&amp;V14&amp;" "&amp;Calculation!AF8), "")</f>
        <v>43484</v>
      </c>
      <c r="W16" s="5">
        <f>IFERROR(DATEVALUE(W15&amp;" "&amp;W14&amp;" "&amp;Calculation!AG8), "")</f>
        <v>43485</v>
      </c>
      <c r="X16" s="5">
        <f>IFERROR(DATEVALUE(X15&amp;" "&amp;X14&amp;" "&amp;Calculation!AH8), "")</f>
        <v>43486</v>
      </c>
      <c r="Y16" s="5">
        <f>IFERROR(DATEVALUE(Y15&amp;" "&amp;Y14&amp;" "&amp;Calculation!AI8), "")</f>
        <v>43487</v>
      </c>
      <c r="Z16" s="5">
        <f>IFERROR(DATEVALUE(Z15&amp;" "&amp;Z14&amp;" "&amp;Calculation!AJ8), "")</f>
        <v>43488</v>
      </c>
      <c r="AA16" s="5">
        <f>IFERROR(DATEVALUE(AA15&amp;" "&amp;AA14&amp;" "&amp;Calculation!AK8), "")</f>
        <v>43489</v>
      </c>
      <c r="AB16" s="5">
        <f>IFERROR(DATEVALUE(AB15&amp;" "&amp;AB14&amp;" "&amp;Calculation!AL8), "")</f>
        <v>43490</v>
      </c>
      <c r="AC16" s="5">
        <f>IFERROR(DATEVALUE(AC15&amp;" "&amp;AC14&amp;" "&amp;Calculation!AM8), "")</f>
        <v>43491</v>
      </c>
      <c r="AD16" s="5">
        <f>IFERROR(DATEVALUE(AD15&amp;" "&amp;AD14&amp;" "&amp;Calculation!AN8), "")</f>
        <v>43492</v>
      </c>
      <c r="AE16" s="5">
        <f>IFERROR(DATEVALUE(AE15&amp;" "&amp;AE14&amp;" "&amp;Calculation!AO8), "")</f>
        <v>43493</v>
      </c>
      <c r="AF16" s="5">
        <f>IFERROR(DATEVALUE(AF15&amp;" "&amp;AF14&amp;" "&amp;Calculation!AP8), "")</f>
        <v>43494</v>
      </c>
      <c r="AG16" s="5">
        <f>IFERROR(DATEVALUE(AG15&amp;" "&amp;AG14&amp;" "&amp;Calculation!AQ8), "")</f>
        <v>43495</v>
      </c>
      <c r="AH16" s="5">
        <f>IFERROR(DATEVALUE(AH15&amp;" "&amp;AH14&amp;" "&amp;Calculation!AR8), "")</f>
        <v>43496</v>
      </c>
      <c r="AI16" s="5">
        <f>IFERROR(DATEVALUE(AI15&amp;" "&amp;AI14&amp;" "&amp;Calculation!AS8), "")</f>
        <v>43497</v>
      </c>
      <c r="AJ16" s="5">
        <f>IFERROR(DATEVALUE(AJ15&amp;" "&amp;AJ14&amp;" "&amp;Calculation!AT8), "")</f>
        <v>43498</v>
      </c>
      <c r="AK16" s="5">
        <f>IFERROR(DATEVALUE(AK15&amp;" "&amp;AK14&amp;" "&amp;Calculation!AU8), "")</f>
        <v>43499</v>
      </c>
      <c r="AL16" s="5">
        <f>IFERROR(DATEVALUE(AL15&amp;" "&amp;AL14&amp;" "&amp;Calculation!AV8), "")</f>
        <v>43500</v>
      </c>
      <c r="AM16" s="5">
        <f>IFERROR(DATEVALUE(AM15&amp;" "&amp;AM14&amp;" "&amp;Calculation!AW8), "")</f>
        <v>43501</v>
      </c>
      <c r="AN16" s="5">
        <f>IFERROR(DATEVALUE(AN15&amp;" "&amp;AN14&amp;" "&amp;Calculation!AX8), "")</f>
        <v>43502</v>
      </c>
      <c r="AO16" s="5">
        <f>IFERROR(DATEVALUE(AO15&amp;" "&amp;AO14&amp;" "&amp;Calculation!AY8), "")</f>
        <v>43503</v>
      </c>
      <c r="AP16" s="5">
        <f>IFERROR(DATEVALUE(AP15&amp;" "&amp;AP14&amp;" "&amp;Calculation!AZ8), "")</f>
        <v>43504</v>
      </c>
      <c r="AQ16" s="5">
        <f>IFERROR(DATEVALUE(AQ15&amp;" "&amp;AQ14&amp;" "&amp;Calculation!BA8), "")</f>
        <v>43505</v>
      </c>
      <c r="AR16" s="5">
        <f>IFERROR(DATEVALUE(AR15&amp;" "&amp;AR14&amp;" "&amp;Calculation!BB8), "")</f>
        <v>43506</v>
      </c>
      <c r="AS16" s="5">
        <f>IFERROR(DATEVALUE(AS15&amp;" "&amp;AS14&amp;" "&amp;Calculation!BC8), "")</f>
        <v>43507</v>
      </c>
      <c r="AT16" s="5">
        <f>IFERROR(DATEVALUE(AT15&amp;" "&amp;AT14&amp;" "&amp;Calculation!BD8), "")</f>
        <v>43508</v>
      </c>
      <c r="AU16" s="5">
        <f>IFERROR(DATEVALUE(AU15&amp;" "&amp;AU14&amp;" "&amp;Calculation!BE8), "")</f>
        <v>43509</v>
      </c>
      <c r="AV16" s="5">
        <f>IFERROR(DATEVALUE(AV15&amp;" "&amp;AV14&amp;" "&amp;Calculation!BF8), "")</f>
        <v>43510</v>
      </c>
      <c r="AW16" s="5">
        <f>IFERROR(DATEVALUE(AW15&amp;" "&amp;AW14&amp;" "&amp;Calculation!BG8), "")</f>
        <v>43511</v>
      </c>
      <c r="AX16" s="5">
        <f>IFERROR(DATEVALUE(AX15&amp;" "&amp;AX14&amp;" "&amp;Calculation!BH8), "")</f>
        <v>43512</v>
      </c>
      <c r="AY16" s="5">
        <f>IFERROR(DATEVALUE(AY15&amp;" "&amp;AY14&amp;" "&amp;Calculation!BI8), "")</f>
        <v>43513</v>
      </c>
      <c r="AZ16" s="5">
        <f>IFERROR(DATEVALUE(AZ15&amp;" "&amp;AZ14&amp;" "&amp;Calculation!BJ8), "")</f>
        <v>43514</v>
      </c>
      <c r="BA16" s="5">
        <f>IFERROR(DATEVALUE(BA15&amp;" "&amp;BA14&amp;" "&amp;Calculation!BK8), "")</f>
        <v>43515</v>
      </c>
      <c r="BB16" s="5">
        <f>IFERROR(DATEVALUE(BB15&amp;" "&amp;BB14&amp;" "&amp;Calculation!BL8), "")</f>
        <v>43516</v>
      </c>
      <c r="BC16" s="5">
        <f>IFERROR(DATEVALUE(BC15&amp;" "&amp;BC14&amp;" "&amp;Calculation!BM8), "")</f>
        <v>43517</v>
      </c>
      <c r="BD16" s="5">
        <f>IFERROR(DATEVALUE(BD15&amp;" "&amp;BD14&amp;" "&amp;Calculation!BN8), "")</f>
        <v>43518</v>
      </c>
      <c r="BE16" s="5">
        <f>IFERROR(DATEVALUE(BE15&amp;" "&amp;BE14&amp;" "&amp;Calculation!BO8), "")</f>
        <v>43519</v>
      </c>
      <c r="BF16" s="5">
        <f>IFERROR(DATEVALUE(BF15&amp;" "&amp;BF14&amp;" "&amp;Calculation!BP8), "")</f>
        <v>43520</v>
      </c>
      <c r="BG16" s="5">
        <f>IFERROR(DATEVALUE(BG15&amp;" "&amp;BG14&amp;" "&amp;Calculation!BQ8), "")</f>
        <v>43521</v>
      </c>
      <c r="BH16" s="5">
        <f>IFERROR(DATEVALUE(BH15&amp;" "&amp;BH14&amp;" "&amp;Calculation!BR8), "")</f>
        <v>43522</v>
      </c>
      <c r="BI16" s="5">
        <f>IFERROR(DATEVALUE(BI15&amp;" "&amp;BI14&amp;" "&amp;Calculation!BS8), "")</f>
        <v>43523</v>
      </c>
      <c r="BJ16" s="5">
        <f>IFERROR(DATEVALUE(BJ15&amp;" "&amp;BJ14&amp;" "&amp;Calculation!BT8), "")</f>
        <v>43524</v>
      </c>
      <c r="BK16" s="5">
        <f>IFERROR(DATEVALUE(BK15&amp;" "&amp;BK14&amp;" "&amp;Calculation!BU8), "")</f>
        <v>43525</v>
      </c>
      <c r="BL16" s="5">
        <f>IFERROR(DATEVALUE(BL15&amp;" "&amp;BL14&amp;" "&amp;Calculation!BV8), "")</f>
        <v>43526</v>
      </c>
      <c r="BM16" s="5">
        <f>IFERROR(DATEVALUE(BM15&amp;" "&amp;BM14&amp;" "&amp;Calculation!BW8), "")</f>
        <v>43527</v>
      </c>
      <c r="BN16" s="5">
        <f>IFERROR(DATEVALUE(BN15&amp;" "&amp;BN14&amp;" "&amp;Calculation!BX8), "")</f>
        <v>43528</v>
      </c>
      <c r="BO16" s="5">
        <f>IFERROR(DATEVALUE(BO15&amp;" "&amp;BO14&amp;" "&amp;Calculation!BY8), "")</f>
        <v>43529</v>
      </c>
      <c r="BP16" s="5">
        <f>IFERROR(DATEVALUE(BP15&amp;" "&amp;BP14&amp;" "&amp;Calculation!BZ8), "")</f>
        <v>43530</v>
      </c>
      <c r="BQ16" s="5">
        <f>IFERROR(DATEVALUE(BQ15&amp;" "&amp;BQ14&amp;" "&amp;Calculation!CA8), "")</f>
        <v>43531</v>
      </c>
      <c r="BR16" s="5">
        <f>IFERROR(DATEVALUE(BR15&amp;" "&amp;BR14&amp;" "&amp;Calculation!CB8), "")</f>
        <v>43532</v>
      </c>
      <c r="BS16" s="5">
        <f>IFERROR(DATEVALUE(BS15&amp;" "&amp;BS14&amp;" "&amp;Calculation!CC8), "")</f>
        <v>43533</v>
      </c>
      <c r="BT16" s="5">
        <f>IFERROR(DATEVALUE(BT15&amp;" "&amp;BT14&amp;" "&amp;Calculation!CD8), "")</f>
        <v>43534</v>
      </c>
      <c r="BU16" s="5">
        <f>IFERROR(DATEVALUE(BU15&amp;" "&amp;BU14&amp;" "&amp;Calculation!CE8), "")</f>
        <v>43535</v>
      </c>
      <c r="BV16" s="5">
        <f>IFERROR(DATEVALUE(BV15&amp;" "&amp;BV14&amp;" "&amp;Calculation!CF8), "")</f>
        <v>43536</v>
      </c>
      <c r="BW16" s="5">
        <f>IFERROR(DATEVALUE(BW15&amp;" "&amp;BW14&amp;" "&amp;Calculation!CG8), "")</f>
        <v>43537</v>
      </c>
      <c r="BX16" s="5">
        <f>IFERROR(DATEVALUE(BX15&amp;" "&amp;BX14&amp;" "&amp;Calculation!CH8), "")</f>
        <v>43538</v>
      </c>
      <c r="BY16" s="5">
        <f>IFERROR(DATEVALUE(BY15&amp;" "&amp;BY14&amp;" "&amp;Calculation!CI8), "")</f>
        <v>43539</v>
      </c>
      <c r="BZ16" s="5">
        <f>IFERROR(DATEVALUE(BZ15&amp;" "&amp;BZ14&amp;" "&amp;Calculation!CJ8), "")</f>
        <v>43540</v>
      </c>
      <c r="CA16" s="5">
        <f>IFERROR(DATEVALUE(CA15&amp;" "&amp;CA14&amp;" "&amp;Calculation!CK8), "")</f>
        <v>43541</v>
      </c>
      <c r="CB16" s="5">
        <f>IFERROR(DATEVALUE(CB15&amp;" "&amp;CB14&amp;" "&amp;Calculation!CL8), "")</f>
        <v>43542</v>
      </c>
      <c r="CC16" s="5">
        <f>IFERROR(DATEVALUE(CC15&amp;" "&amp;CC14&amp;" "&amp;Calculation!CM8), "")</f>
        <v>43543</v>
      </c>
      <c r="CD16" s="5">
        <f>IFERROR(DATEVALUE(CD15&amp;" "&amp;CD14&amp;" "&amp;Calculation!CN8), "")</f>
        <v>43544</v>
      </c>
      <c r="CE16" s="5">
        <f>IFERROR(DATEVALUE(CE15&amp;" "&amp;CE14&amp;" "&amp;Calculation!CO8), "")</f>
        <v>43545</v>
      </c>
      <c r="CF16" s="5">
        <f>IFERROR(DATEVALUE(CF15&amp;" "&amp;CF14&amp;" "&amp;Calculation!CP8), "")</f>
        <v>43546</v>
      </c>
      <c r="CG16" s="5">
        <f>IFERROR(DATEVALUE(CG15&amp;" "&amp;CG14&amp;" "&amp;Calculation!CQ8), "")</f>
        <v>43547</v>
      </c>
      <c r="CH16" s="5">
        <f>IFERROR(DATEVALUE(CH15&amp;" "&amp;CH14&amp;" "&amp;Calculation!CR8), "")</f>
        <v>43548</v>
      </c>
      <c r="CI16" s="5">
        <f>IFERROR(DATEVALUE(CI15&amp;" "&amp;CI14&amp;" "&amp;Calculation!CS8), "")</f>
        <v>43549</v>
      </c>
      <c r="CJ16" s="5">
        <f>IFERROR(DATEVALUE(CJ15&amp;" "&amp;CJ14&amp;" "&amp;Calculation!CT8), "")</f>
        <v>43550</v>
      </c>
      <c r="CK16" s="5">
        <f>IFERROR(DATEVALUE(CK15&amp;" "&amp;CK14&amp;" "&amp;Calculation!CU8), "")</f>
        <v>43551</v>
      </c>
      <c r="CL16" s="5">
        <f>IFERROR(DATEVALUE(CL15&amp;" "&amp;CL14&amp;" "&amp;Calculation!CV8), "")</f>
        <v>43552</v>
      </c>
      <c r="CM16" s="5">
        <f>IFERROR(DATEVALUE(CM15&amp;" "&amp;CM14&amp;" "&amp;Calculation!CW8), "")</f>
        <v>43553</v>
      </c>
      <c r="CN16" s="5">
        <f>IFERROR(DATEVALUE(CN15&amp;" "&amp;CN14&amp;" "&amp;Calculation!CX8), "")</f>
        <v>43554</v>
      </c>
      <c r="CO16" s="5">
        <f>IFERROR(DATEVALUE(CO15&amp;" "&amp;CO14&amp;" "&amp;Calculation!CY8), "")</f>
        <v>43555</v>
      </c>
      <c r="CP16" s="5">
        <f>IFERROR(DATEVALUE(CP15&amp;" "&amp;CP14&amp;" "&amp;Calculation!CZ8), "")</f>
        <v>43556</v>
      </c>
      <c r="CQ16" s="5">
        <f>IFERROR(DATEVALUE(CQ15&amp;" "&amp;CQ14&amp;" "&amp;Calculation!DA8), "")</f>
        <v>43557</v>
      </c>
      <c r="CR16" s="5">
        <f>IFERROR(DATEVALUE(CR15&amp;" "&amp;CR14&amp;" "&amp;Calculation!DB8), "")</f>
        <v>43558</v>
      </c>
      <c r="CS16" s="5">
        <f>IFERROR(DATEVALUE(CS15&amp;" "&amp;CS14&amp;" "&amp;Calculation!DC8), "")</f>
        <v>43559</v>
      </c>
      <c r="CT16" s="5">
        <f>IFERROR(DATEVALUE(CT15&amp;" "&amp;CT14&amp;" "&amp;Calculation!DD8), "")</f>
        <v>43560</v>
      </c>
      <c r="CU16" s="5">
        <f>IFERROR(DATEVALUE(CU15&amp;" "&amp;CU14&amp;" "&amp;Calculation!DE8), "")</f>
        <v>43561</v>
      </c>
      <c r="CV16" s="5">
        <f>IFERROR(DATEVALUE(CV15&amp;" "&amp;CV14&amp;" "&amp;Calculation!DF8), "")</f>
        <v>43562</v>
      </c>
      <c r="CW16" s="5">
        <f>IFERROR(DATEVALUE(CW15&amp;" "&amp;CW14&amp;" "&amp;Calculation!DG8), "")</f>
        <v>43563</v>
      </c>
      <c r="CX16" s="5">
        <f>IFERROR(DATEVALUE(CX15&amp;" "&amp;CX14&amp;" "&amp;Calculation!DH8), "")</f>
        <v>43564</v>
      </c>
      <c r="CY16" s="5">
        <f>IFERROR(DATEVALUE(CY15&amp;" "&amp;CY14&amp;" "&amp;Calculation!DI8), "")</f>
        <v>43565</v>
      </c>
      <c r="CZ16" s="5">
        <f>IFERROR(DATEVALUE(CZ15&amp;" "&amp;CZ14&amp;" "&amp;Calculation!DJ8), "")</f>
        <v>43566</v>
      </c>
      <c r="DA16" s="5">
        <f>IFERROR(DATEVALUE(DA15&amp;" "&amp;DA14&amp;" "&amp;Calculation!DK8), "")</f>
        <v>43567</v>
      </c>
      <c r="DB16" s="5">
        <f>IFERROR(DATEVALUE(DB15&amp;" "&amp;DB14&amp;" "&amp;Calculation!DL8), "")</f>
        <v>43568</v>
      </c>
      <c r="DC16" s="5">
        <f>IFERROR(DATEVALUE(DC15&amp;" "&amp;DC14&amp;" "&amp;Calculation!DM8), "")</f>
        <v>43569</v>
      </c>
      <c r="DD16" s="5">
        <f>IFERROR(DATEVALUE(DD15&amp;" "&amp;DD14&amp;" "&amp;Calculation!DN8), "")</f>
        <v>43570</v>
      </c>
      <c r="DE16" s="5">
        <f>IFERROR(DATEVALUE(DE15&amp;" "&amp;DE14&amp;" "&amp;Calculation!DO8), "")</f>
        <v>43571</v>
      </c>
      <c r="DF16" s="5">
        <f>IFERROR(DATEVALUE(DF15&amp;" "&amp;DF14&amp;" "&amp;Calculation!DP8), "")</f>
        <v>43572</v>
      </c>
      <c r="DG16" s="5">
        <f>IFERROR(DATEVALUE(DG15&amp;" "&amp;DG14&amp;" "&amp;Calculation!DQ8), "")</f>
        <v>43573</v>
      </c>
      <c r="DH16" s="5">
        <f>IFERROR(DATEVALUE(DH15&amp;" "&amp;DH14&amp;" "&amp;Calculation!DR8), "")</f>
        <v>43574</v>
      </c>
      <c r="DI16" s="5" t="str">
        <f>IFERROR(DATEVALUE(DI15&amp;" "&amp;DI14&amp;" "&amp;Calculation!DS8), "")</f>
        <v/>
      </c>
      <c r="DJ16" s="5" t="str">
        <f>IFERROR(DATEVALUE(DJ15&amp;" "&amp;DJ14&amp;" "&amp;Calculation!DT8), "")</f>
        <v/>
      </c>
      <c r="DK16" s="5" t="str">
        <f>IFERROR(DATEVALUE(DK15&amp;" "&amp;DK14&amp;" "&amp;Calculation!DU8), "")</f>
        <v/>
      </c>
      <c r="DL16" s="5" t="str">
        <f>IFERROR(DATEVALUE(DL15&amp;" "&amp;DL14&amp;" "&amp;Calculation!DV8), "")</f>
        <v/>
      </c>
      <c r="DM16" s="5" t="str">
        <f>IFERROR(DATEVALUE(DM15&amp;" "&amp;DM14&amp;" "&amp;Calculation!DW8), "")</f>
        <v/>
      </c>
      <c r="DN16" s="5" t="str">
        <f>IFERROR(DATEVALUE(DN15&amp;" "&amp;DN14&amp;" "&amp;Calculation!DX8), "")</f>
        <v/>
      </c>
      <c r="DO16" s="5" t="str">
        <f>IFERROR(DATEVALUE(DO15&amp;" "&amp;DO14&amp;" "&amp;Calculation!DY8), "")</f>
        <v/>
      </c>
      <c r="DP16" s="5" t="str">
        <f>IFERROR(DATEVALUE(DP15&amp;" "&amp;DP14&amp;" "&amp;Calculation!DZ8), "")</f>
        <v/>
      </c>
      <c r="DQ16" s="5" t="str">
        <f>IFERROR(DATEVALUE(DQ15&amp;" "&amp;DQ14&amp;" "&amp;Calculation!EA8), "")</f>
        <v/>
      </c>
      <c r="DR16" s="5" t="str">
        <f>IFERROR(DATEVALUE(DR15&amp;" "&amp;DR14&amp;" "&amp;Calculation!EB8), "")</f>
        <v/>
      </c>
      <c r="DS16" s="5" t="str">
        <f>IFERROR(DATEVALUE(DS15&amp;" "&amp;DS14&amp;" "&amp;Calculation!EC8), "")</f>
        <v/>
      </c>
      <c r="DT16" s="5" t="str">
        <f>IFERROR(DATEVALUE(DT15&amp;" "&amp;DT14&amp;" "&amp;Calculation!ED8), "")</f>
        <v/>
      </c>
      <c r="DU16" s="5" t="str">
        <f>IFERROR(DATEVALUE(DU15&amp;" "&amp;DU14&amp;" "&amp;Calculation!EE8), "")</f>
        <v/>
      </c>
      <c r="DV16" s="5" t="str">
        <f>IFERROR(DATEVALUE(DV15&amp;" "&amp;DV14&amp;" "&amp;Calculation!EF8), "")</f>
        <v/>
      </c>
      <c r="DW16" s="5" t="str">
        <f>IFERROR(DATEVALUE(DW15&amp;" "&amp;DW14&amp;" "&amp;Calculation!EG8), "")</f>
        <v/>
      </c>
      <c r="DX16" s="5" t="str">
        <f>IFERROR(DATEVALUE(DX15&amp;" "&amp;DX14&amp;" "&amp;Calculation!EH8), "")</f>
        <v/>
      </c>
      <c r="DY16" s="5" t="str">
        <f>IFERROR(DATEVALUE(DY15&amp;" "&amp;DY14&amp;" "&amp;Calculation!EI8), "")</f>
        <v/>
      </c>
      <c r="DZ16" s="5" t="str">
        <f>IFERROR(DATEVALUE(DZ15&amp;" "&amp;DZ14&amp;" "&amp;Calculation!EJ8), "")</f>
        <v/>
      </c>
      <c r="EA16" s="5" t="str">
        <f>IFERROR(DATEVALUE(EA15&amp;" "&amp;EA14&amp;" "&amp;Calculation!EK8), "")</f>
        <v/>
      </c>
      <c r="EB16" s="5" t="str">
        <f>IFERROR(DATEVALUE(EB15&amp;" "&amp;EB14&amp;" "&amp;Calculation!EL8), "")</f>
        <v/>
      </c>
      <c r="EC16" s="5" t="str">
        <f>IFERROR(DATEVALUE(EC15&amp;" "&amp;EC14&amp;" "&amp;Calculation!EM8), "")</f>
        <v/>
      </c>
      <c r="ED16" s="5" t="str">
        <f>IFERROR(DATEVALUE(ED15&amp;" "&amp;ED14&amp;" "&amp;Calculation!EN8), "")</f>
        <v/>
      </c>
      <c r="EE16" s="5" t="str">
        <f>IFERROR(DATEVALUE(EE15&amp;" "&amp;EE14&amp;" "&amp;Calculation!EO8), "")</f>
        <v/>
      </c>
      <c r="EF16" s="5" t="str">
        <f>IFERROR(DATEVALUE(EF15&amp;" "&amp;EF14&amp;" "&amp;Calculation!EP8), "")</f>
        <v/>
      </c>
      <c r="EG16" s="5" t="str">
        <f>IFERROR(DATEVALUE(EG15&amp;" "&amp;EG14&amp;" "&amp;Calculation!EQ8), "")</f>
        <v/>
      </c>
      <c r="EH16" s="5" t="str">
        <f>IFERROR(DATEVALUE(EH15&amp;" "&amp;EH14&amp;" "&amp;Calculation!ER8), "")</f>
        <v/>
      </c>
      <c r="EI16" s="5" t="str">
        <f>IFERROR(DATEVALUE(EI15&amp;" "&amp;EI14&amp;" "&amp;Calculation!ES8), "")</f>
        <v/>
      </c>
      <c r="EJ16" s="5" t="str">
        <f>IFERROR(DATEVALUE(EJ15&amp;" "&amp;EJ14&amp;" "&amp;Calculation!ET8), "")</f>
        <v/>
      </c>
      <c r="EK16" s="5" t="str">
        <f>IFERROR(DATEVALUE(EK15&amp;" "&amp;EK14&amp;" "&amp;Calculation!EU8), "")</f>
        <v/>
      </c>
      <c r="EL16" s="5" t="str">
        <f>IFERROR(DATEVALUE(EL15&amp;" "&amp;EL14&amp;" "&amp;Calculation!EV8), "")</f>
        <v/>
      </c>
      <c r="EM16" s="5" t="str">
        <f>IFERROR(DATEVALUE(EM15&amp;" "&amp;EM14&amp;" "&amp;Calculation!EW8), "")</f>
        <v/>
      </c>
      <c r="EN16" s="5" t="str">
        <f>IFERROR(DATEVALUE(EN15&amp;" "&amp;EN14&amp;" "&amp;Calculation!EX8), "")</f>
        <v/>
      </c>
      <c r="EO16" s="5" t="str">
        <f>IFERROR(DATEVALUE(EO15&amp;" "&amp;EO14&amp;" "&amp;Calculation!EY8), "")</f>
        <v/>
      </c>
      <c r="EP16" s="5" t="str">
        <f>IFERROR(DATEVALUE(EP15&amp;" "&amp;EP14&amp;" "&amp;Calculation!EZ8), "")</f>
        <v/>
      </c>
      <c r="EQ16" s="5" t="str">
        <f>IFERROR(DATEVALUE(EQ15&amp;" "&amp;EQ14&amp;" "&amp;Calculation!FA8), "")</f>
        <v/>
      </c>
      <c r="ER16" s="5" t="str">
        <f>IFERROR(DATEVALUE(ER15&amp;" "&amp;ER14&amp;" "&amp;Calculation!FB8), "")</f>
        <v/>
      </c>
      <c r="ES16" s="5" t="str">
        <f>IFERROR(DATEVALUE(ES15&amp;" "&amp;ES14&amp;" "&amp;Calculation!FC8), "")</f>
        <v/>
      </c>
      <c r="ET16" s="5" t="str">
        <f>IFERROR(DATEVALUE(ET15&amp;" "&amp;ET14&amp;" "&amp;Calculation!FD8), "")</f>
        <v/>
      </c>
      <c r="EU16" s="5" t="str">
        <f>IFERROR(DATEVALUE(EU15&amp;" "&amp;EU14&amp;" "&amp;Calculation!FE8), "")</f>
        <v/>
      </c>
      <c r="EV16" s="5" t="str">
        <f>IFERROR(DATEVALUE(EV15&amp;" "&amp;EV14&amp;" "&amp;Calculation!FF8), "")</f>
        <v/>
      </c>
      <c r="EW16" s="5" t="str">
        <f>IFERROR(DATEVALUE(EW15&amp;" "&amp;EW14&amp;" "&amp;Calculation!FG8), "")</f>
        <v/>
      </c>
      <c r="EX16" s="5" t="str">
        <f>IFERROR(DATEVALUE(EX15&amp;" "&amp;EX14&amp;" "&amp;Calculation!FH8), "")</f>
        <v/>
      </c>
      <c r="EY16" s="5" t="str">
        <f>IFERROR(DATEVALUE(EY15&amp;" "&amp;EY14&amp;" "&amp;Calculation!FI8), "")</f>
        <v/>
      </c>
      <c r="EZ16" s="5" t="str">
        <f>IFERROR(DATEVALUE(EZ15&amp;" "&amp;EZ14&amp;" "&amp;Calculation!FJ8), "")</f>
        <v/>
      </c>
      <c r="FA16" s="5" t="str">
        <f>IFERROR(DATEVALUE(FA15&amp;" "&amp;FA14&amp;" "&amp;Calculation!FK8), "")</f>
        <v/>
      </c>
      <c r="FB16" s="5" t="str">
        <f>IFERROR(DATEVALUE(FB15&amp;" "&amp;FB14&amp;" "&amp;Calculation!FL8), "")</f>
        <v/>
      </c>
      <c r="FC16" s="5" t="str">
        <f>IFERROR(DATEVALUE(FC15&amp;" "&amp;FC14&amp;" "&amp;Calculation!FM8), "")</f>
        <v/>
      </c>
      <c r="FD16" s="5" t="str">
        <f>IFERROR(DATEVALUE(FD15&amp;" "&amp;FD14&amp;" "&amp;Calculation!FN8), "")</f>
        <v/>
      </c>
      <c r="FE16" s="5" t="str">
        <f>IFERROR(DATEVALUE(FE15&amp;" "&amp;FE14&amp;" "&amp;Calculation!FO8), "")</f>
        <v/>
      </c>
      <c r="FF16" s="5" t="str">
        <f>IFERROR(DATEVALUE(FF15&amp;" "&amp;FF14&amp;" "&amp;Calculation!FP8), "")</f>
        <v/>
      </c>
      <c r="FG16" s="5" t="str">
        <f>IFERROR(DATEVALUE(FG15&amp;" "&amp;FG14&amp;" "&amp;Calculation!FQ8), "")</f>
        <v/>
      </c>
      <c r="FH16" s="5" t="str">
        <f>IFERROR(DATEVALUE(FH15&amp;" "&amp;FH14&amp;" "&amp;Calculation!FR8), "")</f>
        <v/>
      </c>
      <c r="FI16" s="5" t="str">
        <f>IFERROR(DATEVALUE(FI15&amp;" "&amp;FI14&amp;" "&amp;Calculation!FS8), "")</f>
        <v/>
      </c>
      <c r="FJ16" s="5" t="str">
        <f>IFERROR(DATEVALUE(FJ15&amp;" "&amp;FJ14&amp;" "&amp;Calculation!FT8), "")</f>
        <v/>
      </c>
      <c r="FK16" s="5" t="str">
        <f>IFERROR(DATEVALUE(FK15&amp;" "&amp;FK14&amp;" "&amp;Calculation!FU8), "")</f>
        <v/>
      </c>
      <c r="FL16" s="5" t="str">
        <f>IFERROR(DATEVALUE(FL15&amp;" "&amp;FL14&amp;" "&amp;Calculation!FV8), "")</f>
        <v/>
      </c>
      <c r="FM16" s="5" t="str">
        <f>IFERROR(DATEVALUE(FM15&amp;" "&amp;FM14&amp;" "&amp;Calculation!FW8), "")</f>
        <v/>
      </c>
      <c r="FN16" s="5" t="str">
        <f>IFERROR(DATEVALUE(FN15&amp;" "&amp;FN14&amp;" "&amp;Calculation!FX8), "")</f>
        <v/>
      </c>
      <c r="FO16" s="5" t="str">
        <f>IFERROR(DATEVALUE(FO15&amp;" "&amp;FO14&amp;" "&amp;Calculation!FY8), "")</f>
        <v/>
      </c>
      <c r="FP16" s="5" t="str">
        <f>IFERROR(DATEVALUE(FP15&amp;" "&amp;FP14&amp;" "&amp;Calculation!FZ8), "")</f>
        <v/>
      </c>
      <c r="FQ16" s="5" t="str">
        <f>IFERROR(DATEVALUE(FQ15&amp;" "&amp;FQ14&amp;" "&amp;Calculation!GA8), "")</f>
        <v/>
      </c>
      <c r="FR16" s="5" t="str">
        <f>IFERROR(DATEVALUE(FR15&amp;" "&amp;FR14&amp;" "&amp;Calculation!GB8), "")</f>
        <v/>
      </c>
      <c r="FS16" s="5" t="str">
        <f>IFERROR(DATEVALUE(FS15&amp;" "&amp;FS14&amp;" "&amp;Calculation!GC8), "")</f>
        <v/>
      </c>
      <c r="FT16" s="5" t="str">
        <f>IFERROR(DATEVALUE(FT15&amp;" "&amp;FT14&amp;" "&amp;Calculation!GD8), "")</f>
        <v/>
      </c>
      <c r="FU16" s="5" t="str">
        <f>IFERROR(DATEVALUE(FU15&amp;" "&amp;FU14&amp;" "&amp;Calculation!GE8), "")</f>
        <v/>
      </c>
      <c r="FV16" s="5" t="str">
        <f>IFERROR(DATEVALUE(FV15&amp;" "&amp;FV14&amp;" "&amp;Calculation!GF8), "")</f>
        <v/>
      </c>
      <c r="FW16" s="5" t="str">
        <f>IFERROR(DATEVALUE(FW15&amp;" "&amp;FW14&amp;" "&amp;Calculation!GG8), "")</f>
        <v/>
      </c>
      <c r="FX16" s="5" t="str">
        <f>IFERROR(DATEVALUE(FX15&amp;" "&amp;FX14&amp;" "&amp;Calculation!GH8), "")</f>
        <v/>
      </c>
      <c r="FY16" s="5" t="str">
        <f>IFERROR(DATEVALUE(FY15&amp;" "&amp;FY14&amp;" "&amp;Calculation!GI8), "")</f>
        <v/>
      </c>
      <c r="FZ16" s="5" t="str">
        <f>IFERROR(DATEVALUE(FZ15&amp;" "&amp;FZ14&amp;" "&amp;Calculation!GJ8), "")</f>
        <v/>
      </c>
      <c r="GA16" s="5" t="str">
        <f>IFERROR(DATEVALUE(GA15&amp;" "&amp;GA14&amp;" "&amp;Calculation!GK8), "")</f>
        <v/>
      </c>
      <c r="GB16" s="5" t="str">
        <f>IFERROR(DATEVALUE(GB15&amp;" "&amp;GB14&amp;" "&amp;Calculation!GL8), "")</f>
        <v/>
      </c>
      <c r="GC16" s="5" t="str">
        <f>IFERROR(DATEVALUE(GC15&amp;" "&amp;GC14&amp;" "&amp;Calculation!GM8), "")</f>
        <v/>
      </c>
      <c r="GD16" s="5" t="str">
        <f>IFERROR(DATEVALUE(GD15&amp;" "&amp;GD14&amp;" "&amp;Calculation!GN8), "")</f>
        <v/>
      </c>
      <c r="GE16" s="5" t="str">
        <f>IFERROR(DATEVALUE(GE15&amp;" "&amp;GE14&amp;" "&amp;Calculation!GO8), "")</f>
        <v/>
      </c>
      <c r="GF16" s="5" t="str">
        <f>IFERROR(DATEVALUE(GF15&amp;" "&amp;GF14&amp;" "&amp;Calculation!GP8), "")</f>
        <v/>
      </c>
      <c r="GG16" s="5" t="str">
        <f>IFERROR(DATEVALUE(GG15&amp;" "&amp;GG14&amp;" "&amp;Calculation!GQ8), "")</f>
        <v/>
      </c>
    </row>
    <row r="17" spans="1:189" x14ac:dyDescent="0.25">
      <c r="A17" s="4">
        <f ca="1">Calculation!A$19</f>
        <v>38</v>
      </c>
      <c r="B17" s="4">
        <f ca="1">Calculation!B$19</f>
        <v>38</v>
      </c>
      <c r="C17" s="4">
        <f ca="1">Calculation!C$19</f>
        <v>39</v>
      </c>
      <c r="D17" s="4">
        <f ca="1">Calculation!D$19</f>
        <v>38</v>
      </c>
      <c r="E17" s="4">
        <f ca="1">Calculation!E$19</f>
        <v>38</v>
      </c>
      <c r="F17" s="4">
        <f ca="1">Calculation!F$19</f>
        <v>37</v>
      </c>
      <c r="G17" s="4">
        <f ca="1">Calculation!G$19</f>
        <v>38</v>
      </c>
      <c r="H17" s="4">
        <f ca="1">Calculation!H$19</f>
        <v>32</v>
      </c>
      <c r="I17" s="4">
        <f ca="1">Calculation!I$19</f>
        <v>37</v>
      </c>
      <c r="J17" s="4">
        <f ca="1">Calculation!J$19</f>
        <v>36</v>
      </c>
      <c r="K17" s="4">
        <f ca="1">Calculation!K$19</f>
        <v>36</v>
      </c>
      <c r="L17" s="4">
        <f ca="1">Calculation!L$19</f>
        <v>35</v>
      </c>
      <c r="M17" s="4">
        <f ca="1">Calculation!M$19</f>
        <v>35</v>
      </c>
      <c r="N17" s="4">
        <f ca="1">Calculation!N$19</f>
        <v>35</v>
      </c>
      <c r="O17" s="4">
        <f ca="1">Calculation!O$19</f>
        <v>36</v>
      </c>
      <c r="P17" s="4">
        <f ca="1">Calculation!P$19</f>
        <v>36</v>
      </c>
      <c r="Q17" s="4">
        <f ca="1">Calculation!Q$19</f>
        <v>37</v>
      </c>
      <c r="R17" s="4">
        <f ca="1">Calculation!R$19</f>
        <v>37</v>
      </c>
      <c r="S17" s="4">
        <f ca="1">Calculation!S$19</f>
        <v>38</v>
      </c>
      <c r="T17" s="4">
        <f ca="1">Calculation!T$19</f>
        <v>38</v>
      </c>
      <c r="U17" s="4">
        <f ca="1">Calculation!U$19</f>
        <v>38</v>
      </c>
      <c r="V17" s="4">
        <f ca="1">Calculation!V$19</f>
        <v>37</v>
      </c>
      <c r="W17" s="4">
        <f ca="1">Calculation!W$19</f>
        <v>37</v>
      </c>
      <c r="X17" s="4">
        <f ca="1">Calculation!X$19</f>
        <v>36</v>
      </c>
      <c r="Y17" s="4">
        <f ca="1">Calculation!Y$19</f>
        <v>36</v>
      </c>
      <c r="Z17" s="4">
        <f ca="1">Calculation!Z$19</f>
        <v>36</v>
      </c>
      <c r="AA17" s="4">
        <f ca="1">Calculation!AA$19</f>
        <v>36</v>
      </c>
      <c r="AB17" s="4">
        <f ca="1">Calculation!AB$19</f>
        <v>35</v>
      </c>
      <c r="AC17" s="4">
        <f ca="1">Calculation!AC$19</f>
        <v>35</v>
      </c>
      <c r="AD17" s="4">
        <f ca="1">Calculation!AD$19</f>
        <v>37</v>
      </c>
      <c r="AE17" s="4">
        <f ca="1">Calculation!AE$19</f>
        <v>37</v>
      </c>
      <c r="AF17" s="4">
        <f ca="1">Calculation!AF$19</f>
        <v>36</v>
      </c>
      <c r="AG17" s="4">
        <f ca="1">Calculation!AG$19</f>
        <v>36</v>
      </c>
      <c r="AH17" s="4">
        <f ca="1">Calculation!AH$19</f>
        <v>36</v>
      </c>
      <c r="AI17" s="4">
        <f ca="1">Calculation!AI$19</f>
        <v>36</v>
      </c>
      <c r="AJ17" s="4">
        <f ca="1">Calculation!AJ$19</f>
        <v>31</v>
      </c>
      <c r="AK17" s="4">
        <f ca="1">Calculation!AK$19</f>
        <v>37</v>
      </c>
      <c r="AL17" s="4">
        <f ca="1">Calculation!AL$19</f>
        <v>37</v>
      </c>
      <c r="AM17" s="4">
        <f ca="1">Calculation!AM$19</f>
        <v>37</v>
      </c>
      <c r="AN17" s="4">
        <f ca="1">Calculation!AN$19</f>
        <v>37</v>
      </c>
      <c r="AO17" s="4">
        <f ca="1">Calculation!AO$19</f>
        <v>37</v>
      </c>
      <c r="AP17" s="4">
        <f ca="1">Calculation!AP$19</f>
        <v>37</v>
      </c>
      <c r="AQ17" s="4">
        <f ca="1">Calculation!AQ$19</f>
        <v>34</v>
      </c>
      <c r="AR17" s="4">
        <f ca="1">Calculation!AR$19</f>
        <v>33</v>
      </c>
      <c r="AS17" s="4">
        <f ca="1">Calculation!AS$19</f>
        <v>33</v>
      </c>
      <c r="AT17" s="4">
        <f ca="1">Calculation!AT$19</f>
        <v>33</v>
      </c>
      <c r="AU17" s="4">
        <f ca="1">Calculation!AU$19</f>
        <v>33</v>
      </c>
      <c r="AV17" s="4">
        <f ca="1">Calculation!AV$19</f>
        <v>33</v>
      </c>
      <c r="AW17" s="4">
        <f ca="1">Calculation!AW$19</f>
        <v>32</v>
      </c>
      <c r="AX17" s="4">
        <f ca="1">Calculation!AX$19</f>
        <v>31</v>
      </c>
      <c r="AY17" s="4">
        <f ca="1">Calculation!AY$19</f>
        <v>29</v>
      </c>
      <c r="AZ17" s="4">
        <f ca="1">Calculation!AZ$19</f>
        <v>29</v>
      </c>
      <c r="BA17" s="4">
        <f ca="1">Calculation!BA$19</f>
        <v>29</v>
      </c>
      <c r="BB17" s="4">
        <f ca="1">Calculation!BB$19</f>
        <v>29</v>
      </c>
      <c r="BC17" s="4">
        <f ca="1">Calculation!BC$19</f>
        <v>29</v>
      </c>
      <c r="BD17" s="4">
        <f ca="1">Calculation!BD$19</f>
        <v>29</v>
      </c>
      <c r="BE17" s="4">
        <f ca="1">Calculation!BE$19</f>
        <v>35</v>
      </c>
      <c r="BF17" s="4">
        <f ca="1">Calculation!BF$19</f>
        <v>34</v>
      </c>
      <c r="BG17" s="4">
        <f ca="1">Calculation!BG$19</f>
        <v>34</v>
      </c>
      <c r="BH17" s="4">
        <f ca="1">Calculation!BH$19</f>
        <v>34</v>
      </c>
      <c r="BI17" s="4">
        <f ca="1">Calculation!BI$19</f>
        <v>34</v>
      </c>
      <c r="BJ17" s="4">
        <f ca="1">Calculation!BJ$19</f>
        <v>34</v>
      </c>
      <c r="BK17" s="4">
        <f ca="1">Calculation!BK$19</f>
        <v>34</v>
      </c>
      <c r="BL17" s="4">
        <f ca="1">Calculation!BL$19</f>
        <v>32</v>
      </c>
      <c r="BM17" s="4">
        <f ca="1">Calculation!BM$19</f>
        <v>33</v>
      </c>
      <c r="BN17" s="4">
        <f ca="1">Calculation!BN$19</f>
        <v>33</v>
      </c>
      <c r="BO17" s="4">
        <f ca="1">Calculation!BO$19</f>
        <v>33</v>
      </c>
      <c r="BP17" s="4">
        <f ca="1">Calculation!BP$19</f>
        <v>33</v>
      </c>
      <c r="BQ17" s="4">
        <f ca="1">Calculation!BQ$19</f>
        <v>33</v>
      </c>
      <c r="BR17" s="4">
        <f ca="1">Calculation!BR$19</f>
        <v>33</v>
      </c>
      <c r="BS17" s="4">
        <f ca="1">Calculation!BS$19</f>
        <v>30</v>
      </c>
      <c r="BT17" s="4">
        <f ca="1">Calculation!BT$19</f>
        <v>30</v>
      </c>
      <c r="BU17" s="4">
        <f ca="1">Calculation!BU$19</f>
        <v>30</v>
      </c>
      <c r="BV17" s="4">
        <f ca="1">Calculation!BV$19</f>
        <v>30</v>
      </c>
      <c r="BW17" s="4">
        <f ca="1">Calculation!BW$19</f>
        <v>30</v>
      </c>
      <c r="BX17" s="4">
        <f ca="1">Calculation!BX$19</f>
        <v>30</v>
      </c>
      <c r="BY17" s="4">
        <f ca="1">Calculation!BY$19</f>
        <v>30</v>
      </c>
      <c r="BZ17" s="4">
        <f ca="1">Calculation!BZ$19</f>
        <v>29</v>
      </c>
      <c r="CA17" s="4">
        <f ca="1">Calculation!CA$19</f>
        <v>29</v>
      </c>
      <c r="CB17" s="4">
        <f ca="1">Calculation!CB$19</f>
        <v>29</v>
      </c>
      <c r="CC17" s="4">
        <f ca="1">Calculation!CC$19</f>
        <v>29</v>
      </c>
      <c r="CD17" s="4">
        <f ca="1">Calculation!CD$19</f>
        <v>29</v>
      </c>
      <c r="CE17" s="4">
        <f ca="1">Calculation!CE$19</f>
        <v>29</v>
      </c>
      <c r="CF17" s="4">
        <f ca="1">Calculation!CF$19</f>
        <v>29</v>
      </c>
      <c r="CG17" s="4">
        <f ca="1">Calculation!CG$19</f>
        <v>29</v>
      </c>
      <c r="CH17" s="4">
        <f ca="1">Calculation!CH$19</f>
        <v>28</v>
      </c>
      <c r="CI17" s="4">
        <f ca="1">Calculation!CI$19</f>
        <v>28</v>
      </c>
      <c r="CJ17" s="4">
        <f ca="1">Calculation!CJ$19</f>
        <v>28</v>
      </c>
      <c r="CK17" s="4">
        <f ca="1">Calculation!CK$19</f>
        <v>28</v>
      </c>
      <c r="CL17" s="4">
        <f ca="1">Calculation!CL$19</f>
        <v>28</v>
      </c>
      <c r="CM17" s="4">
        <f ca="1">Calculation!CM$19</f>
        <v>28</v>
      </c>
      <c r="CN17" s="4">
        <f ca="1">Calculation!CN$19</f>
        <v>27</v>
      </c>
      <c r="CO17" s="4">
        <f ca="1">Calculation!CO$19</f>
        <v>27</v>
      </c>
      <c r="CP17" s="4">
        <f ca="1">Calculation!CP$19</f>
        <v>27</v>
      </c>
      <c r="CQ17" s="4">
        <f ca="1">Calculation!CQ$19</f>
        <v>27</v>
      </c>
      <c r="CR17" s="4">
        <f ca="1">Calculation!CR$19</f>
        <v>27</v>
      </c>
      <c r="CS17" s="4">
        <f ca="1">Calculation!CS$19</f>
        <v>27</v>
      </c>
      <c r="CT17" s="4">
        <f ca="1">Calculation!CT$19</f>
        <v>27</v>
      </c>
      <c r="CU17" s="4">
        <f ca="1">Calculation!CU$19</f>
        <v>25</v>
      </c>
      <c r="CV17" s="4">
        <f ca="1">Calculation!CV$19</f>
        <v>18</v>
      </c>
      <c r="CW17" s="4">
        <f ca="1">Calculation!CW$19</f>
        <v>18</v>
      </c>
      <c r="CX17" s="4">
        <f ca="1">Calculation!CX$19</f>
        <v>18</v>
      </c>
      <c r="CY17" s="4">
        <f ca="1">Calculation!CY$19</f>
        <v>18</v>
      </c>
      <c r="CZ17" s="4">
        <f ca="1">Calculation!CZ$19</f>
        <v>18</v>
      </c>
      <c r="DA17" s="4">
        <f ca="1">Calculation!DA$19</f>
        <v>18</v>
      </c>
      <c r="DB17" s="4">
        <f ca="1">Calculation!DB$19</f>
        <v>18</v>
      </c>
      <c r="DC17" s="4">
        <f ca="1">Calculation!DC$19</f>
        <v>17</v>
      </c>
      <c r="DD17" s="4">
        <f ca="1">Calculation!DD$19</f>
        <v>17</v>
      </c>
      <c r="DE17" s="4">
        <f ca="1">Calculation!DE$19</f>
        <v>17</v>
      </c>
      <c r="DF17" s="4">
        <f ca="1">Calculation!DF$19</f>
        <v>17</v>
      </c>
      <c r="DG17" s="4">
        <f ca="1">Calculation!DG$19</f>
        <v>17</v>
      </c>
      <c r="DH17" s="4">
        <f ca="1">Calculation!DH$19</f>
        <v>17</v>
      </c>
      <c r="DI17" s="4" t="str">
        <f ca="1">Calculation!DI$19</f>
        <v/>
      </c>
      <c r="DJ17" s="4" t="str">
        <f ca="1">Calculation!DJ$19</f>
        <v/>
      </c>
      <c r="DK17" s="4" t="str">
        <f ca="1">Calculation!DK$19</f>
        <v/>
      </c>
      <c r="DL17" s="4" t="str">
        <f ca="1">Calculation!DL$19</f>
        <v/>
      </c>
      <c r="DM17" s="4" t="str">
        <f ca="1">Calculation!DM$19</f>
        <v/>
      </c>
      <c r="DN17" s="4" t="str">
        <f ca="1">Calculation!DN$19</f>
        <v/>
      </c>
      <c r="DO17" s="4" t="str">
        <f ca="1">Calculation!DO$19</f>
        <v/>
      </c>
      <c r="DP17" s="4" t="str">
        <f ca="1">Calculation!DP$19</f>
        <v/>
      </c>
      <c r="DQ17" s="4" t="str">
        <f ca="1">Calculation!DQ$19</f>
        <v/>
      </c>
      <c r="DR17" s="4" t="str">
        <f ca="1">Calculation!DR$19</f>
        <v/>
      </c>
      <c r="DS17" s="4" t="str">
        <f ca="1">Calculation!DS$19</f>
        <v/>
      </c>
      <c r="DT17" s="4" t="str">
        <f ca="1">Calculation!DT$19</f>
        <v/>
      </c>
      <c r="DU17" s="4" t="str">
        <f ca="1">Calculation!DU$19</f>
        <v/>
      </c>
      <c r="DV17" s="4" t="str">
        <f ca="1">Calculation!DV$19</f>
        <v/>
      </c>
      <c r="DW17" s="4" t="str">
        <f ca="1">Calculation!DW$19</f>
        <v/>
      </c>
      <c r="DX17" s="4" t="str">
        <f ca="1">Calculation!DX$19</f>
        <v/>
      </c>
      <c r="DY17" s="4" t="str">
        <f ca="1">Calculation!DY$19</f>
        <v/>
      </c>
      <c r="DZ17" s="4" t="str">
        <f ca="1">Calculation!DZ$19</f>
        <v/>
      </c>
      <c r="EA17" s="4" t="str">
        <f ca="1">Calculation!EA$19</f>
        <v/>
      </c>
      <c r="EB17" s="4" t="str">
        <f ca="1">Calculation!EB$19</f>
        <v/>
      </c>
      <c r="EC17" s="4" t="str">
        <f ca="1">Calculation!EC$19</f>
        <v/>
      </c>
      <c r="ED17" s="4" t="str">
        <f ca="1">Calculation!ED$19</f>
        <v/>
      </c>
      <c r="EE17" s="4" t="str">
        <f ca="1">Calculation!EE$19</f>
        <v/>
      </c>
      <c r="EF17" s="4" t="str">
        <f ca="1">Calculation!EF$19</f>
        <v/>
      </c>
      <c r="EG17" s="4" t="str">
        <f ca="1">Calculation!EG$19</f>
        <v/>
      </c>
      <c r="EH17" s="4" t="str">
        <f ca="1">Calculation!EH$19</f>
        <v/>
      </c>
      <c r="EI17" s="4" t="str">
        <f ca="1">Calculation!EI$19</f>
        <v/>
      </c>
      <c r="EJ17" s="4" t="str">
        <f ca="1">Calculation!EJ$19</f>
        <v/>
      </c>
      <c r="EK17" s="4" t="str">
        <f ca="1">Calculation!EK$19</f>
        <v/>
      </c>
      <c r="EL17" s="4" t="str">
        <f ca="1">Calculation!EL$19</f>
        <v/>
      </c>
      <c r="EM17" s="4" t="str">
        <f ca="1">Calculation!EM$19</f>
        <v/>
      </c>
      <c r="EN17" s="4" t="str">
        <f ca="1">Calculation!EN$19</f>
        <v/>
      </c>
      <c r="EO17" s="4" t="str">
        <f ca="1">Calculation!EO$19</f>
        <v/>
      </c>
      <c r="EP17" s="4" t="str">
        <f ca="1">Calculation!EP$19</f>
        <v/>
      </c>
      <c r="EQ17" s="4" t="str">
        <f ca="1">Calculation!EQ$19</f>
        <v/>
      </c>
      <c r="ER17" s="4" t="str">
        <f ca="1">Calculation!ER$19</f>
        <v/>
      </c>
      <c r="ES17" s="4" t="str">
        <f ca="1">Calculation!ES$19</f>
        <v/>
      </c>
      <c r="ET17" s="4" t="str">
        <f ca="1">Calculation!ET$19</f>
        <v/>
      </c>
      <c r="EU17" s="4" t="str">
        <f ca="1">Calculation!EU$19</f>
        <v/>
      </c>
      <c r="EV17" s="4" t="str">
        <f ca="1">Calculation!EV$19</f>
        <v/>
      </c>
      <c r="EW17" s="4" t="str">
        <f ca="1">Calculation!EW$19</f>
        <v/>
      </c>
      <c r="EX17" s="4" t="str">
        <f ca="1">Calculation!EX$19</f>
        <v/>
      </c>
      <c r="EY17" s="4" t="str">
        <f ca="1">Calculation!EY$19</f>
        <v/>
      </c>
      <c r="EZ17" s="4" t="str">
        <f ca="1">Calculation!EZ$19</f>
        <v/>
      </c>
      <c r="FA17" s="4" t="str">
        <f ca="1">Calculation!FA$19</f>
        <v/>
      </c>
      <c r="FB17" s="4" t="str">
        <f ca="1">Calculation!FB$19</f>
        <v/>
      </c>
      <c r="FC17" s="4" t="str">
        <f ca="1">Calculation!FC$19</f>
        <v/>
      </c>
      <c r="FD17" s="4" t="str">
        <f ca="1">Calculation!FD$19</f>
        <v/>
      </c>
      <c r="FE17" s="4" t="str">
        <f ca="1">Calculation!FE$19</f>
        <v/>
      </c>
      <c r="FF17" s="4" t="str">
        <f ca="1">Calculation!FF$19</f>
        <v/>
      </c>
      <c r="FG17" s="4" t="str">
        <f ca="1">Calculation!FG$19</f>
        <v/>
      </c>
      <c r="FH17" s="4" t="str">
        <f ca="1">Calculation!FH$19</f>
        <v/>
      </c>
      <c r="FI17" s="4" t="str">
        <f ca="1">Calculation!FI$19</f>
        <v/>
      </c>
      <c r="FJ17" s="4" t="str">
        <f ca="1">Calculation!FJ$19</f>
        <v/>
      </c>
      <c r="FK17" s="4" t="str">
        <f ca="1">Calculation!FK$19</f>
        <v/>
      </c>
      <c r="FL17" s="4" t="str">
        <f ca="1">Calculation!FL$19</f>
        <v/>
      </c>
      <c r="FM17" s="4" t="str">
        <f ca="1">Calculation!FM$19</f>
        <v/>
      </c>
      <c r="FN17" s="4" t="str">
        <f ca="1">Calculation!FN$19</f>
        <v/>
      </c>
      <c r="FO17" s="4" t="str">
        <f ca="1">Calculation!FO$19</f>
        <v/>
      </c>
      <c r="FP17" s="4" t="str">
        <f ca="1">Calculation!FP$19</f>
        <v/>
      </c>
      <c r="FQ17" s="4" t="str">
        <f ca="1">Calculation!FQ$19</f>
        <v/>
      </c>
      <c r="FR17" s="4" t="str">
        <f ca="1">Calculation!FR$19</f>
        <v/>
      </c>
      <c r="FS17" s="4" t="str">
        <f ca="1">Calculation!FS$19</f>
        <v/>
      </c>
      <c r="FT17" s="4" t="str">
        <f ca="1">Calculation!FT$19</f>
        <v/>
      </c>
      <c r="FU17" s="4" t="str">
        <f ca="1">Calculation!FU$19</f>
        <v/>
      </c>
      <c r="FV17" s="4" t="str">
        <f ca="1">Calculation!FV$19</f>
        <v/>
      </c>
      <c r="FW17" s="4" t="str">
        <f ca="1">Calculation!FW$19</f>
        <v/>
      </c>
      <c r="FX17" s="4" t="str">
        <f ca="1">Calculation!FX$19</f>
        <v/>
      </c>
      <c r="FY17" s="4" t="str">
        <f ca="1">Calculation!FY$19</f>
        <v/>
      </c>
      <c r="FZ17" s="4" t="str">
        <f ca="1">Calculation!FZ$19</f>
        <v/>
      </c>
      <c r="GA17" s="4" t="str">
        <f ca="1">Calculation!GA$19</f>
        <v/>
      </c>
      <c r="GB17" s="4" t="str">
        <f ca="1">Calculation!GB$19</f>
        <v/>
      </c>
      <c r="GC17" s="4" t="str">
        <f ca="1">Calculation!GC$19</f>
        <v/>
      </c>
      <c r="GD17" s="4" t="str">
        <f ca="1">Calculation!GD$19</f>
        <v/>
      </c>
      <c r="GE17" s="4" t="str">
        <f ca="1">Calculation!GE$19</f>
        <v/>
      </c>
      <c r="GF17" s="4" t="str">
        <f ca="1">Calculation!GF$19</f>
        <v/>
      </c>
      <c r="GG17" s="4" t="str">
        <f ca="1">Calculation!GG$19</f>
        <v/>
      </c>
    </row>
    <row r="19" spans="1:189" x14ac:dyDescent="0.25">
      <c r="A19" s="1" t="s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</row>
    <row r="20" spans="1:189" x14ac:dyDescent="0.25">
      <c r="A20" s="2" t="str">
        <f>IF('PASTE RAW DATA HERE'!C$8=0, "", 'PASTE RAW DATA HERE'!C$8)</f>
        <v>Dec</v>
      </c>
      <c r="B20" s="2" t="str">
        <f>IF('PASTE RAW DATA HERE'!D$8=0, "", 'PASTE RAW DATA HERE'!D$8)</f>
        <v>Dec</v>
      </c>
      <c r="C20" s="2" t="str">
        <f>IF('PASTE RAW DATA HERE'!E$8=0, "", 'PASTE RAW DATA HERE'!E$8)</f>
        <v>Dec</v>
      </c>
      <c r="D20" s="2" t="str">
        <f>IF('PASTE RAW DATA HERE'!F$8=0, "", 'PASTE RAW DATA HERE'!F$8)</f>
        <v>Jan</v>
      </c>
      <c r="E20" s="2" t="str">
        <f>IF('PASTE RAW DATA HERE'!G$8=0, "", 'PASTE RAW DATA HERE'!G$8)</f>
        <v>Jan</v>
      </c>
      <c r="F20" s="2" t="str">
        <f>IF('PASTE RAW DATA HERE'!H$8=0, "", 'PASTE RAW DATA HERE'!H$8)</f>
        <v>Jan</v>
      </c>
      <c r="G20" s="2" t="str">
        <f>IF('PASTE RAW DATA HERE'!I$8=0, "", 'PASTE RAW DATA HERE'!I$8)</f>
        <v>Jan</v>
      </c>
      <c r="H20" s="2" t="str">
        <f>IF('PASTE RAW DATA HERE'!J$8=0, "", 'PASTE RAW DATA HERE'!J$8)</f>
        <v>Jan</v>
      </c>
      <c r="I20" s="2" t="str">
        <f>IF('PASTE RAW DATA HERE'!K$8=0, "", 'PASTE RAW DATA HERE'!K$8)</f>
        <v>Jan</v>
      </c>
      <c r="J20" s="2" t="str">
        <f>IF('PASTE RAW DATA HERE'!L$8=0, "", 'PASTE RAW DATA HERE'!L$8)</f>
        <v>Jan</v>
      </c>
      <c r="K20" s="2" t="str">
        <f>IF('PASTE RAW DATA HERE'!M$8=0, "", 'PASTE RAW DATA HERE'!M$8)</f>
        <v>Jan</v>
      </c>
      <c r="L20" s="2" t="str">
        <f>IF('PASTE RAW DATA HERE'!N$8=0, "", 'PASTE RAW DATA HERE'!N$8)</f>
        <v>Jan</v>
      </c>
      <c r="M20" s="2" t="str">
        <f>IF('PASTE RAW DATA HERE'!O$8=0, "", 'PASTE RAW DATA HERE'!O$8)</f>
        <v>Jan</v>
      </c>
      <c r="N20" s="2" t="str">
        <f>IF('PASTE RAW DATA HERE'!P$8=0, "", 'PASTE RAW DATA HERE'!P$8)</f>
        <v>Jan</v>
      </c>
      <c r="O20" s="2" t="str">
        <f>IF('PASTE RAW DATA HERE'!Q$8=0, "", 'PASTE RAW DATA HERE'!Q$8)</f>
        <v>Jan</v>
      </c>
      <c r="P20" s="2" t="str">
        <f>IF('PASTE RAW DATA HERE'!R$8=0, "", 'PASTE RAW DATA HERE'!R$8)</f>
        <v>Jan</v>
      </c>
      <c r="Q20" s="2" t="str">
        <f>IF('PASTE RAW DATA HERE'!S$8=0, "", 'PASTE RAW DATA HERE'!S$8)</f>
        <v>Jan</v>
      </c>
      <c r="R20" s="2" t="str">
        <f>IF('PASTE RAW DATA HERE'!T$8=0, "", 'PASTE RAW DATA HERE'!T$8)</f>
        <v>Jan</v>
      </c>
      <c r="S20" s="2" t="str">
        <f>IF('PASTE RAW DATA HERE'!U$8=0, "", 'PASTE RAW DATA HERE'!U$8)</f>
        <v>Jan</v>
      </c>
      <c r="T20" s="2" t="str">
        <f>IF('PASTE RAW DATA HERE'!V$8=0, "", 'PASTE RAW DATA HERE'!V$8)</f>
        <v>Jan</v>
      </c>
      <c r="U20" s="2" t="str">
        <f>IF('PASTE RAW DATA HERE'!W$8=0, "", 'PASTE RAW DATA HERE'!W$8)</f>
        <v>Jan</v>
      </c>
      <c r="V20" s="2" t="str">
        <f>IF('PASTE RAW DATA HERE'!X$8=0, "", 'PASTE RAW DATA HERE'!X$8)</f>
        <v>Jan</v>
      </c>
      <c r="W20" s="2" t="str">
        <f>IF('PASTE RAW DATA HERE'!Y$8=0, "", 'PASTE RAW DATA HERE'!Y$8)</f>
        <v>Jan</v>
      </c>
      <c r="X20" s="2" t="str">
        <f>IF('PASTE RAW DATA HERE'!Z$8=0, "", 'PASTE RAW DATA HERE'!Z$8)</f>
        <v>Jan</v>
      </c>
      <c r="Y20" s="2" t="str">
        <f>IF('PASTE RAW DATA HERE'!AA$8=0, "", 'PASTE RAW DATA HERE'!AA$8)</f>
        <v>Jan</v>
      </c>
      <c r="Z20" s="2" t="str">
        <f>IF('PASTE RAW DATA HERE'!AB$8=0, "", 'PASTE RAW DATA HERE'!AB$8)</f>
        <v>Jan</v>
      </c>
      <c r="AA20" s="2" t="str">
        <f>IF('PASTE RAW DATA HERE'!AC$8=0, "", 'PASTE RAW DATA HERE'!AC$8)</f>
        <v>Jan</v>
      </c>
      <c r="AB20" s="2" t="str">
        <f>IF('PASTE RAW DATA HERE'!AD$8=0, "", 'PASTE RAW DATA HERE'!AD$8)</f>
        <v>Jan</v>
      </c>
      <c r="AC20" s="2" t="str">
        <f>IF('PASTE RAW DATA HERE'!AE$8=0, "", 'PASTE RAW DATA HERE'!AE$8)</f>
        <v>Jan</v>
      </c>
      <c r="AD20" s="2" t="str">
        <f>IF('PASTE RAW DATA HERE'!AF$8=0, "", 'PASTE RAW DATA HERE'!AF$8)</f>
        <v>Jan</v>
      </c>
      <c r="AE20" s="2" t="str">
        <f>IF('PASTE RAW DATA HERE'!AG$8=0, "", 'PASTE RAW DATA HERE'!AG$8)</f>
        <v>Jan</v>
      </c>
      <c r="AF20" s="2" t="str">
        <f>IF('PASTE RAW DATA HERE'!AH$8=0, "", 'PASTE RAW DATA HERE'!AH$8)</f>
        <v>Jan</v>
      </c>
      <c r="AG20" s="2" t="str">
        <f>IF('PASTE RAW DATA HERE'!AI$8=0, "", 'PASTE RAW DATA HERE'!AI$8)</f>
        <v>Jan</v>
      </c>
      <c r="AH20" s="2" t="str">
        <f>IF('PASTE RAW DATA HERE'!AJ$8=0, "", 'PASTE RAW DATA HERE'!AJ$8)</f>
        <v>Jan</v>
      </c>
      <c r="AI20" s="2" t="str">
        <f>IF('PASTE RAW DATA HERE'!AK$8=0, "", 'PASTE RAW DATA HERE'!AK$8)</f>
        <v>Feb</v>
      </c>
      <c r="AJ20" s="2" t="str">
        <f>IF('PASTE RAW DATA HERE'!AL$8=0, "", 'PASTE RAW DATA HERE'!AL$8)</f>
        <v>Feb</v>
      </c>
      <c r="AK20" s="2" t="str">
        <f>IF('PASTE RAW DATA HERE'!AM$8=0, "", 'PASTE RAW DATA HERE'!AM$8)</f>
        <v>Feb</v>
      </c>
      <c r="AL20" s="2" t="str">
        <f>IF('PASTE RAW DATA HERE'!AN$8=0, "", 'PASTE RAW DATA HERE'!AN$8)</f>
        <v>Feb</v>
      </c>
      <c r="AM20" s="2" t="str">
        <f>IF('PASTE RAW DATA HERE'!AO$8=0, "", 'PASTE RAW DATA HERE'!AO$8)</f>
        <v>Feb</v>
      </c>
      <c r="AN20" s="2" t="str">
        <f>IF('PASTE RAW DATA HERE'!AP$8=0, "", 'PASTE RAW DATA HERE'!AP$8)</f>
        <v>Feb</v>
      </c>
      <c r="AO20" s="2" t="str">
        <f>IF('PASTE RAW DATA HERE'!AQ$8=0, "", 'PASTE RAW DATA HERE'!AQ$8)</f>
        <v>Feb</v>
      </c>
      <c r="AP20" s="2" t="str">
        <f>IF('PASTE RAW DATA HERE'!AR$8=0, "", 'PASTE RAW DATA HERE'!AR$8)</f>
        <v>Feb</v>
      </c>
      <c r="AQ20" s="2" t="str">
        <f>IF('PASTE RAW DATA HERE'!AS$8=0, "", 'PASTE RAW DATA HERE'!AS$8)</f>
        <v>Feb</v>
      </c>
      <c r="AR20" s="2" t="str">
        <f>IF('PASTE RAW DATA HERE'!AT$8=0, "", 'PASTE RAW DATA HERE'!AT$8)</f>
        <v>Feb</v>
      </c>
      <c r="AS20" s="2" t="str">
        <f>IF('PASTE RAW DATA HERE'!AU$8=0, "", 'PASTE RAW DATA HERE'!AU$8)</f>
        <v>Feb</v>
      </c>
      <c r="AT20" s="2" t="str">
        <f>IF('PASTE RAW DATA HERE'!AV$8=0, "", 'PASTE RAW DATA HERE'!AV$8)</f>
        <v>Feb</v>
      </c>
      <c r="AU20" s="2" t="str">
        <f>IF('PASTE RAW DATA HERE'!AW$8=0, "", 'PASTE RAW DATA HERE'!AW$8)</f>
        <v>Feb</v>
      </c>
      <c r="AV20" s="2" t="str">
        <f>IF('PASTE RAW DATA HERE'!AX$8=0, "", 'PASTE RAW DATA HERE'!AX$8)</f>
        <v>Feb</v>
      </c>
      <c r="AW20" s="2" t="str">
        <f>IF('PASTE RAW DATA HERE'!AY$8=0, "", 'PASTE RAW DATA HERE'!AY$8)</f>
        <v>Feb</v>
      </c>
      <c r="AX20" s="2" t="str">
        <f>IF('PASTE RAW DATA HERE'!AZ$8=0, "", 'PASTE RAW DATA HERE'!AZ$8)</f>
        <v>Feb</v>
      </c>
      <c r="AY20" s="2" t="str">
        <f>IF('PASTE RAW DATA HERE'!BA$8=0, "", 'PASTE RAW DATA HERE'!BA$8)</f>
        <v>Feb</v>
      </c>
      <c r="AZ20" s="2" t="str">
        <f>IF('PASTE RAW DATA HERE'!BB$8=0, "", 'PASTE RAW DATA HERE'!BB$8)</f>
        <v>Feb</v>
      </c>
      <c r="BA20" s="2" t="str">
        <f>IF('PASTE RAW DATA HERE'!BC$8=0, "", 'PASTE RAW DATA HERE'!BC$8)</f>
        <v>Feb</v>
      </c>
      <c r="BB20" s="2" t="str">
        <f>IF('PASTE RAW DATA HERE'!BD$8=0, "", 'PASTE RAW DATA HERE'!BD$8)</f>
        <v>Feb</v>
      </c>
      <c r="BC20" s="2" t="str">
        <f>IF('PASTE RAW DATA HERE'!BE$8=0, "", 'PASTE RAW DATA HERE'!BE$8)</f>
        <v>Feb</v>
      </c>
      <c r="BD20" s="2" t="str">
        <f>IF('PASTE RAW DATA HERE'!BF$8=0, "", 'PASTE RAW DATA HERE'!BF$8)</f>
        <v>Feb</v>
      </c>
      <c r="BE20" s="2" t="str">
        <f>IF('PASTE RAW DATA HERE'!BG$8=0, "", 'PASTE RAW DATA HERE'!BG$8)</f>
        <v>Feb</v>
      </c>
      <c r="BF20" s="2" t="str">
        <f>IF('PASTE RAW DATA HERE'!BH$8=0, "", 'PASTE RAW DATA HERE'!BH$8)</f>
        <v>Feb</v>
      </c>
      <c r="BG20" s="2" t="str">
        <f>IF('PASTE RAW DATA HERE'!BI$8=0, "", 'PASTE RAW DATA HERE'!BI$8)</f>
        <v>Feb</v>
      </c>
      <c r="BH20" s="2" t="str">
        <f>IF('PASTE RAW DATA HERE'!BJ$8=0, "", 'PASTE RAW DATA HERE'!BJ$8)</f>
        <v>Feb</v>
      </c>
      <c r="BI20" s="2" t="str">
        <f>IF('PASTE RAW DATA HERE'!BK$8=0, "", 'PASTE RAW DATA HERE'!BK$8)</f>
        <v>Feb</v>
      </c>
      <c r="BJ20" s="2" t="str">
        <f>IF('PASTE RAW DATA HERE'!BL$8=0, "", 'PASTE RAW DATA HERE'!BL$8)</f>
        <v>Feb</v>
      </c>
      <c r="BK20" s="2" t="str">
        <f>IF('PASTE RAW DATA HERE'!BM$8=0, "", 'PASTE RAW DATA HERE'!BM$8)</f>
        <v>Mar</v>
      </c>
      <c r="BL20" s="2" t="str">
        <f>IF('PASTE RAW DATA HERE'!BN$8=0, "", 'PASTE RAW DATA HERE'!BN$8)</f>
        <v>Mar</v>
      </c>
      <c r="BM20" s="2" t="str">
        <f>IF('PASTE RAW DATA HERE'!BO$8=0, "", 'PASTE RAW DATA HERE'!BO$8)</f>
        <v>Mar</v>
      </c>
      <c r="BN20" s="2" t="str">
        <f>IF('PASTE RAW DATA HERE'!BP$8=0, "", 'PASTE RAW DATA HERE'!BP$8)</f>
        <v>Mar</v>
      </c>
      <c r="BO20" s="2" t="str">
        <f>IF('PASTE RAW DATA HERE'!BQ$8=0, "", 'PASTE RAW DATA HERE'!BQ$8)</f>
        <v>Mar</v>
      </c>
      <c r="BP20" s="2" t="str">
        <f>IF('PASTE RAW DATA HERE'!BR$8=0, "", 'PASTE RAW DATA HERE'!BR$8)</f>
        <v>Mar</v>
      </c>
      <c r="BQ20" s="2" t="str">
        <f>IF('PASTE RAW DATA HERE'!BS$8=0, "", 'PASTE RAW DATA HERE'!BS$8)</f>
        <v>Mar</v>
      </c>
      <c r="BR20" s="2" t="str">
        <f>IF('PASTE RAW DATA HERE'!BT$8=0, "", 'PASTE RAW DATA HERE'!BT$8)</f>
        <v>Mar</v>
      </c>
      <c r="BS20" s="2" t="str">
        <f>IF('PASTE RAW DATA HERE'!BU$8=0, "", 'PASTE RAW DATA HERE'!BU$8)</f>
        <v>Mar</v>
      </c>
      <c r="BT20" s="2" t="str">
        <f>IF('PASTE RAW DATA HERE'!BV$8=0, "", 'PASTE RAW DATA HERE'!BV$8)</f>
        <v>Mar</v>
      </c>
      <c r="BU20" s="2" t="str">
        <f>IF('PASTE RAW DATA HERE'!BW$8=0, "", 'PASTE RAW DATA HERE'!BW$8)</f>
        <v>Mar</v>
      </c>
      <c r="BV20" s="2" t="str">
        <f>IF('PASTE RAW DATA HERE'!BX$8=0, "", 'PASTE RAW DATA HERE'!BX$8)</f>
        <v>Mar</v>
      </c>
      <c r="BW20" s="2" t="str">
        <f>IF('PASTE RAW DATA HERE'!BY$8=0, "", 'PASTE RAW DATA HERE'!BY$8)</f>
        <v>Mar</v>
      </c>
      <c r="BX20" s="2" t="str">
        <f>IF('PASTE RAW DATA HERE'!BZ$8=0, "", 'PASTE RAW DATA HERE'!BZ$8)</f>
        <v>Mar</v>
      </c>
      <c r="BY20" s="2" t="str">
        <f>IF('PASTE RAW DATA HERE'!CA$8=0, "", 'PASTE RAW DATA HERE'!CA$8)</f>
        <v>Mar</v>
      </c>
      <c r="BZ20" s="2" t="str">
        <f>IF('PASTE RAW DATA HERE'!CB$8=0, "", 'PASTE RAW DATA HERE'!CB$8)</f>
        <v>Mar</v>
      </c>
      <c r="CA20" s="2" t="str">
        <f>IF('PASTE RAW DATA HERE'!CC$8=0, "", 'PASTE RAW DATA HERE'!CC$8)</f>
        <v>Mar</v>
      </c>
      <c r="CB20" s="2" t="str">
        <f>IF('PASTE RAW DATA HERE'!CD$8=0, "", 'PASTE RAW DATA HERE'!CD$8)</f>
        <v>Mar</v>
      </c>
      <c r="CC20" s="2" t="str">
        <f>IF('PASTE RAW DATA HERE'!CE$8=0, "", 'PASTE RAW DATA HERE'!CE$8)</f>
        <v>Mar</v>
      </c>
      <c r="CD20" s="2" t="str">
        <f>IF('PASTE RAW DATA HERE'!CF$8=0, "", 'PASTE RAW DATA HERE'!CF$8)</f>
        <v>Mar</v>
      </c>
      <c r="CE20" s="2" t="str">
        <f>IF('PASTE RAW DATA HERE'!CG$8=0, "", 'PASTE RAW DATA HERE'!CG$8)</f>
        <v>Mar</v>
      </c>
      <c r="CF20" s="2" t="str">
        <f>IF('PASTE RAW DATA HERE'!CH$8=0, "", 'PASTE RAW DATA HERE'!CH$8)</f>
        <v>Mar</v>
      </c>
      <c r="CG20" s="2" t="str">
        <f>IF('PASTE RAW DATA HERE'!CI$8=0, "", 'PASTE RAW DATA HERE'!CI$8)</f>
        <v>Mar</v>
      </c>
      <c r="CH20" s="2" t="str">
        <f>IF('PASTE RAW DATA HERE'!CJ$8=0, "", 'PASTE RAW DATA HERE'!CJ$8)</f>
        <v>Mar</v>
      </c>
      <c r="CI20" s="2" t="str">
        <f>IF('PASTE RAW DATA HERE'!CK$8=0, "", 'PASTE RAW DATA HERE'!CK$8)</f>
        <v>Mar</v>
      </c>
      <c r="CJ20" s="2" t="str">
        <f>IF('PASTE RAW DATA HERE'!CL$8=0, "", 'PASTE RAW DATA HERE'!CL$8)</f>
        <v>Mar</v>
      </c>
      <c r="CK20" s="2" t="str">
        <f>IF('PASTE RAW DATA HERE'!CM$8=0, "", 'PASTE RAW DATA HERE'!CM$8)</f>
        <v>Mar</v>
      </c>
      <c r="CL20" s="2" t="str">
        <f>IF('PASTE RAW DATA HERE'!CN$8=0, "", 'PASTE RAW DATA HERE'!CN$8)</f>
        <v>Mar</v>
      </c>
      <c r="CM20" s="2" t="str">
        <f>IF('PASTE RAW DATA HERE'!CO$8=0, "", 'PASTE RAW DATA HERE'!CO$8)</f>
        <v>Mar</v>
      </c>
      <c r="CN20" s="2" t="str">
        <f>IF('PASTE RAW DATA HERE'!CP$8=0, "", 'PASTE RAW DATA HERE'!CP$8)</f>
        <v>Mar</v>
      </c>
      <c r="CO20" s="2" t="str">
        <f>IF('PASTE RAW DATA HERE'!CQ$8=0, "", 'PASTE RAW DATA HERE'!CQ$8)</f>
        <v>Mar</v>
      </c>
      <c r="CP20" s="2" t="str">
        <f>IF('PASTE RAW DATA HERE'!CR$8=0, "", 'PASTE RAW DATA HERE'!CR$8)</f>
        <v>Apr</v>
      </c>
      <c r="CQ20" s="2" t="str">
        <f>IF('PASTE RAW DATA HERE'!CS$8=0, "", 'PASTE RAW DATA HERE'!CS$8)</f>
        <v>Apr</v>
      </c>
      <c r="CR20" s="2" t="str">
        <f>IF('PASTE RAW DATA HERE'!CT$8=0, "", 'PASTE RAW DATA HERE'!CT$8)</f>
        <v>Apr</v>
      </c>
      <c r="CS20" s="2" t="str">
        <f>IF('PASTE RAW DATA HERE'!CU$8=0, "", 'PASTE RAW DATA HERE'!CU$8)</f>
        <v>Apr</v>
      </c>
      <c r="CT20" s="2" t="str">
        <f>IF('PASTE RAW DATA HERE'!CV$8=0, "", 'PASTE RAW DATA HERE'!CV$8)</f>
        <v>Apr</v>
      </c>
      <c r="CU20" s="2" t="str">
        <f>IF('PASTE RAW DATA HERE'!CW$8=0, "", 'PASTE RAW DATA HERE'!CW$8)</f>
        <v>Apr</v>
      </c>
      <c r="CV20" s="2" t="str">
        <f>IF('PASTE RAW DATA HERE'!CX$8=0, "", 'PASTE RAW DATA HERE'!CX$8)</f>
        <v>Apr</v>
      </c>
      <c r="CW20" s="2" t="str">
        <f>IF('PASTE RAW DATA HERE'!CY$8=0, "", 'PASTE RAW DATA HERE'!CY$8)</f>
        <v>Apr</v>
      </c>
      <c r="CX20" s="2" t="str">
        <f>IF('PASTE RAW DATA HERE'!CZ$8=0, "", 'PASTE RAW DATA HERE'!CZ$8)</f>
        <v>Apr</v>
      </c>
      <c r="CY20" s="2" t="str">
        <f>IF('PASTE RAW DATA HERE'!DA$8=0, "", 'PASTE RAW DATA HERE'!DA$8)</f>
        <v>Apr</v>
      </c>
      <c r="CZ20" s="2" t="str">
        <f>IF('PASTE RAW DATA HERE'!DB$8=0, "", 'PASTE RAW DATA HERE'!DB$8)</f>
        <v>Apr</v>
      </c>
      <c r="DA20" s="2" t="str">
        <f>IF('PASTE RAW DATA HERE'!DC$8=0, "", 'PASTE RAW DATA HERE'!DC$8)</f>
        <v>Apr</v>
      </c>
      <c r="DB20" s="2" t="str">
        <f>IF('PASTE RAW DATA HERE'!DD$8=0, "", 'PASTE RAW DATA HERE'!DD$8)</f>
        <v>Apr</v>
      </c>
      <c r="DC20" s="2" t="str">
        <f>IF('PASTE RAW DATA HERE'!DE$8=0, "", 'PASTE RAW DATA HERE'!DE$8)</f>
        <v>Apr</v>
      </c>
      <c r="DD20" s="2" t="str">
        <f>IF('PASTE RAW DATA HERE'!DF$8=0, "", 'PASTE RAW DATA HERE'!DF$8)</f>
        <v>Apr</v>
      </c>
      <c r="DE20" s="2" t="str">
        <f>IF('PASTE RAW DATA HERE'!DG$8=0, "", 'PASTE RAW DATA HERE'!DG$8)</f>
        <v>Apr</v>
      </c>
      <c r="DF20" s="2" t="str">
        <f>IF('PASTE RAW DATA HERE'!DH$8=0, "", 'PASTE RAW DATA HERE'!DH$8)</f>
        <v>Apr</v>
      </c>
      <c r="DG20" s="2" t="str">
        <f>IF('PASTE RAW DATA HERE'!DI$8=0, "", 'PASTE RAW DATA HERE'!DI$8)</f>
        <v>Apr</v>
      </c>
      <c r="DH20" s="2" t="str">
        <f>IF('PASTE RAW DATA HERE'!DJ$8=0, "", 'PASTE RAW DATA HERE'!DJ$8)</f>
        <v>Apr</v>
      </c>
      <c r="DI20" s="2" t="str">
        <f>IF('PASTE RAW DATA HERE'!DK$8=0, "", 'PASTE RAW DATA HERE'!DK$8)</f>
        <v/>
      </c>
      <c r="DJ20" s="2" t="str">
        <f>IF('PASTE RAW DATA HERE'!DL$8=0, "", 'PASTE RAW DATA HERE'!DL$8)</f>
        <v/>
      </c>
      <c r="DK20" s="2" t="str">
        <f>IF('PASTE RAW DATA HERE'!DM$8=0, "", 'PASTE RAW DATA HERE'!DM$8)</f>
        <v/>
      </c>
      <c r="DL20" s="2" t="str">
        <f>IF('PASTE RAW DATA HERE'!DN$8=0, "", 'PASTE RAW DATA HERE'!DN$8)</f>
        <v/>
      </c>
      <c r="DM20" s="2" t="str">
        <f>IF('PASTE RAW DATA HERE'!DO$8=0, "", 'PASTE RAW DATA HERE'!DO$8)</f>
        <v/>
      </c>
      <c r="DN20" s="2" t="str">
        <f>IF('PASTE RAW DATA HERE'!DP$8=0, "", 'PASTE RAW DATA HERE'!DP$8)</f>
        <v/>
      </c>
      <c r="DO20" s="2" t="str">
        <f>IF('PASTE RAW DATA HERE'!DQ$8=0, "", 'PASTE RAW DATA HERE'!DQ$8)</f>
        <v/>
      </c>
      <c r="DP20" s="2" t="str">
        <f>IF('PASTE RAW DATA HERE'!DR$8=0, "", 'PASTE RAW DATA HERE'!DR$8)</f>
        <v/>
      </c>
      <c r="DQ20" s="2" t="str">
        <f>IF('PASTE RAW DATA HERE'!DS$8=0, "", 'PASTE RAW DATA HERE'!DS$8)</f>
        <v/>
      </c>
      <c r="DR20" s="2" t="str">
        <f>IF('PASTE RAW DATA HERE'!DT$8=0, "", 'PASTE RAW DATA HERE'!DT$8)</f>
        <v/>
      </c>
      <c r="DS20" s="2" t="str">
        <f>IF('PASTE RAW DATA HERE'!DU$8=0, "", 'PASTE RAW DATA HERE'!DU$8)</f>
        <v/>
      </c>
      <c r="DT20" s="2" t="str">
        <f>IF('PASTE RAW DATA HERE'!DV$8=0, "", 'PASTE RAW DATA HERE'!DV$8)</f>
        <v/>
      </c>
      <c r="DU20" s="2" t="str">
        <f>IF('PASTE RAW DATA HERE'!DW$8=0, "", 'PASTE RAW DATA HERE'!DW$8)</f>
        <v/>
      </c>
      <c r="DV20" s="2" t="str">
        <f>IF('PASTE RAW DATA HERE'!DX$8=0, "", 'PASTE RAW DATA HERE'!DX$8)</f>
        <v/>
      </c>
      <c r="DW20" s="2" t="str">
        <f>IF('PASTE RAW DATA HERE'!DY$8=0, "", 'PASTE RAW DATA HERE'!DY$8)</f>
        <v/>
      </c>
      <c r="DX20" s="2" t="str">
        <f>IF('PASTE RAW DATA HERE'!DZ$8=0, "", 'PASTE RAW DATA HERE'!DZ$8)</f>
        <v/>
      </c>
      <c r="DY20" s="2" t="str">
        <f>IF('PASTE RAW DATA HERE'!EA$8=0, "", 'PASTE RAW DATA HERE'!EA$8)</f>
        <v/>
      </c>
      <c r="DZ20" s="2" t="str">
        <f>IF('PASTE RAW DATA HERE'!EB$8=0, "", 'PASTE RAW DATA HERE'!EB$8)</f>
        <v/>
      </c>
      <c r="EA20" s="2" t="str">
        <f>IF('PASTE RAW DATA HERE'!EC$8=0, "", 'PASTE RAW DATA HERE'!EC$8)</f>
        <v/>
      </c>
      <c r="EB20" s="2" t="str">
        <f>IF('PASTE RAW DATA HERE'!ED$8=0, "", 'PASTE RAW DATA HERE'!ED$8)</f>
        <v/>
      </c>
      <c r="EC20" s="2" t="str">
        <f>IF('PASTE RAW DATA HERE'!EE$8=0, "", 'PASTE RAW DATA HERE'!EE$8)</f>
        <v/>
      </c>
      <c r="ED20" s="2" t="str">
        <f>IF('PASTE RAW DATA HERE'!EF$8=0, "", 'PASTE RAW DATA HERE'!EF$8)</f>
        <v/>
      </c>
      <c r="EE20" s="2" t="str">
        <f>IF('PASTE RAW DATA HERE'!EG$8=0, "", 'PASTE RAW DATA HERE'!EG$8)</f>
        <v/>
      </c>
      <c r="EF20" s="2" t="str">
        <f>IF('PASTE RAW DATA HERE'!EH$8=0, "", 'PASTE RAW DATA HERE'!EH$8)</f>
        <v/>
      </c>
      <c r="EG20" s="2" t="str">
        <f>IF('PASTE RAW DATA HERE'!EI$8=0, "", 'PASTE RAW DATA HERE'!EI$8)</f>
        <v/>
      </c>
      <c r="EH20" s="2" t="str">
        <f>IF('PASTE RAW DATA HERE'!EJ$8=0, "", 'PASTE RAW DATA HERE'!EJ$8)</f>
        <v/>
      </c>
      <c r="EI20" s="2" t="str">
        <f>IF('PASTE RAW DATA HERE'!EK$8=0, "", 'PASTE RAW DATA HERE'!EK$8)</f>
        <v/>
      </c>
      <c r="EJ20" s="2" t="str">
        <f>IF('PASTE RAW DATA HERE'!EL$8=0, "", 'PASTE RAW DATA HERE'!EL$8)</f>
        <v/>
      </c>
      <c r="EK20" s="2" t="str">
        <f>IF('PASTE RAW DATA HERE'!EM$8=0, "", 'PASTE RAW DATA HERE'!EM$8)</f>
        <v/>
      </c>
      <c r="EL20" s="2" t="str">
        <f>IF('PASTE RAW DATA HERE'!EN$8=0, "", 'PASTE RAW DATA HERE'!EN$8)</f>
        <v/>
      </c>
      <c r="EM20" s="2" t="str">
        <f>IF('PASTE RAW DATA HERE'!EO$8=0, "", 'PASTE RAW DATA HERE'!EO$8)</f>
        <v/>
      </c>
      <c r="EN20" s="2" t="str">
        <f>IF('PASTE RAW DATA HERE'!EP$8=0, "", 'PASTE RAW DATA HERE'!EP$8)</f>
        <v/>
      </c>
      <c r="EO20" s="2" t="str">
        <f>IF('PASTE RAW DATA HERE'!EQ$8=0, "", 'PASTE RAW DATA HERE'!EQ$8)</f>
        <v/>
      </c>
      <c r="EP20" s="2" t="str">
        <f>IF('PASTE RAW DATA HERE'!ER$8=0, "", 'PASTE RAW DATA HERE'!ER$8)</f>
        <v/>
      </c>
      <c r="EQ20" s="2" t="str">
        <f>IF('PASTE RAW DATA HERE'!ES$8=0, "", 'PASTE RAW DATA HERE'!ES$8)</f>
        <v/>
      </c>
      <c r="ER20" s="2" t="str">
        <f>IF('PASTE RAW DATA HERE'!ET$8=0, "", 'PASTE RAW DATA HERE'!ET$8)</f>
        <v/>
      </c>
      <c r="ES20" s="2" t="str">
        <f>IF('PASTE RAW DATA HERE'!EU$8=0, "", 'PASTE RAW DATA HERE'!EU$8)</f>
        <v/>
      </c>
      <c r="ET20" s="2" t="str">
        <f>IF('PASTE RAW DATA HERE'!EV$8=0, "", 'PASTE RAW DATA HERE'!EV$8)</f>
        <v/>
      </c>
      <c r="EU20" s="2" t="str">
        <f>IF('PASTE RAW DATA HERE'!EW$8=0, "", 'PASTE RAW DATA HERE'!EW$8)</f>
        <v/>
      </c>
      <c r="EV20" s="2" t="str">
        <f>IF('PASTE RAW DATA HERE'!EX$8=0, "", 'PASTE RAW DATA HERE'!EX$8)</f>
        <v/>
      </c>
      <c r="EW20" s="2" t="str">
        <f>IF('PASTE RAW DATA HERE'!EY$8=0, "", 'PASTE RAW DATA HERE'!EY$8)</f>
        <v/>
      </c>
      <c r="EX20" s="2" t="str">
        <f>IF('PASTE RAW DATA HERE'!EZ$8=0, "", 'PASTE RAW DATA HERE'!EZ$8)</f>
        <v/>
      </c>
      <c r="EY20" s="2" t="str">
        <f>IF('PASTE RAW DATA HERE'!FA$8=0, "", 'PASTE RAW DATA HERE'!FA$8)</f>
        <v/>
      </c>
      <c r="EZ20" s="2" t="str">
        <f>IF('PASTE RAW DATA HERE'!FB$8=0, "", 'PASTE RAW DATA HERE'!FB$8)</f>
        <v/>
      </c>
      <c r="FA20" s="2" t="str">
        <f>IF('PASTE RAW DATA HERE'!FC$8=0, "", 'PASTE RAW DATA HERE'!FC$8)</f>
        <v/>
      </c>
      <c r="FB20" s="2" t="str">
        <f>IF('PASTE RAW DATA HERE'!FD$8=0, "", 'PASTE RAW DATA HERE'!FD$8)</f>
        <v/>
      </c>
      <c r="FC20" s="2" t="str">
        <f>IF('PASTE RAW DATA HERE'!FE$8=0, "", 'PASTE RAW DATA HERE'!FE$8)</f>
        <v/>
      </c>
      <c r="FD20" s="2" t="str">
        <f>IF('PASTE RAW DATA HERE'!FF$8=0, "", 'PASTE RAW DATA HERE'!FF$8)</f>
        <v/>
      </c>
      <c r="FE20" s="2" t="str">
        <f>IF('PASTE RAW DATA HERE'!FG$8=0, "", 'PASTE RAW DATA HERE'!FG$8)</f>
        <v/>
      </c>
      <c r="FF20" s="2" t="str">
        <f>IF('PASTE RAW DATA HERE'!FH$8=0, "", 'PASTE RAW DATA HERE'!FH$8)</f>
        <v/>
      </c>
      <c r="FG20" s="2" t="str">
        <f>IF('PASTE RAW DATA HERE'!FI$8=0, "", 'PASTE RAW DATA HERE'!FI$8)</f>
        <v/>
      </c>
      <c r="FH20" s="2" t="str">
        <f>IF('PASTE RAW DATA HERE'!FJ$8=0, "", 'PASTE RAW DATA HERE'!FJ$8)</f>
        <v/>
      </c>
      <c r="FI20" s="2" t="str">
        <f>IF('PASTE RAW DATA HERE'!FK$8=0, "", 'PASTE RAW DATA HERE'!FK$8)</f>
        <v/>
      </c>
      <c r="FJ20" s="2" t="str">
        <f>IF('PASTE RAW DATA HERE'!FL$8=0, "", 'PASTE RAW DATA HERE'!FL$8)</f>
        <v/>
      </c>
      <c r="FK20" s="2" t="str">
        <f>IF('PASTE RAW DATA HERE'!FM$8=0, "", 'PASTE RAW DATA HERE'!FM$8)</f>
        <v/>
      </c>
      <c r="FL20" s="2" t="str">
        <f>IF('PASTE RAW DATA HERE'!FN$8=0, "", 'PASTE RAW DATA HERE'!FN$8)</f>
        <v/>
      </c>
      <c r="FM20" s="2" t="str">
        <f>IF('PASTE RAW DATA HERE'!FO$8=0, "", 'PASTE RAW DATA HERE'!FO$8)</f>
        <v/>
      </c>
      <c r="FN20" s="2" t="str">
        <f>IF('PASTE RAW DATA HERE'!FP$8=0, "", 'PASTE RAW DATA HERE'!FP$8)</f>
        <v/>
      </c>
      <c r="FO20" s="2" t="str">
        <f>IF('PASTE RAW DATA HERE'!FQ$8=0, "", 'PASTE RAW DATA HERE'!FQ$8)</f>
        <v/>
      </c>
      <c r="FP20" s="2" t="str">
        <f>IF('PASTE RAW DATA HERE'!FR$8=0, "", 'PASTE RAW DATA HERE'!FR$8)</f>
        <v/>
      </c>
      <c r="FQ20" s="2" t="str">
        <f>IF('PASTE RAW DATA HERE'!FS$8=0, "", 'PASTE RAW DATA HERE'!FS$8)</f>
        <v/>
      </c>
      <c r="FR20" s="2" t="str">
        <f>IF('PASTE RAW DATA HERE'!FT$8=0, "", 'PASTE RAW DATA HERE'!FT$8)</f>
        <v/>
      </c>
      <c r="FS20" s="2" t="str">
        <f>IF('PASTE RAW DATA HERE'!FU$8=0, "", 'PASTE RAW DATA HERE'!FU$8)</f>
        <v/>
      </c>
      <c r="FT20" s="2" t="str">
        <f>IF('PASTE RAW DATA HERE'!FV$8=0, "", 'PASTE RAW DATA HERE'!FV$8)</f>
        <v/>
      </c>
      <c r="FU20" s="2" t="str">
        <f>IF('PASTE RAW DATA HERE'!FW$8=0, "", 'PASTE RAW DATA HERE'!FW$8)</f>
        <v/>
      </c>
      <c r="FV20" s="2" t="str">
        <f>IF('PASTE RAW DATA HERE'!FX$8=0, "", 'PASTE RAW DATA HERE'!FX$8)</f>
        <v/>
      </c>
      <c r="FW20" s="2" t="str">
        <f>IF('PASTE RAW DATA HERE'!FY$8=0, "", 'PASTE RAW DATA HERE'!FY$8)</f>
        <v/>
      </c>
      <c r="FX20" s="2" t="str">
        <f>IF('PASTE RAW DATA HERE'!FZ$8=0, "", 'PASTE RAW DATA HERE'!FZ$8)</f>
        <v/>
      </c>
      <c r="FY20" s="2" t="str">
        <f>IF('PASTE RAW DATA HERE'!GA$8=0, "", 'PASTE RAW DATA HERE'!GA$8)</f>
        <v/>
      </c>
      <c r="FZ20" s="2" t="str">
        <f>IF('PASTE RAW DATA HERE'!GB$8=0, "", 'PASTE RAW DATA HERE'!GB$8)</f>
        <v/>
      </c>
      <c r="GA20" s="2" t="str">
        <f>IF('PASTE RAW DATA HERE'!GC$8=0, "", 'PASTE RAW DATA HERE'!GC$8)</f>
        <v/>
      </c>
      <c r="GB20" s="2" t="str">
        <f>IF('PASTE RAW DATA HERE'!GD$8=0, "", 'PASTE RAW DATA HERE'!GD$8)</f>
        <v/>
      </c>
      <c r="GC20" s="2" t="str">
        <f>IF('PASTE RAW DATA HERE'!GE$8=0, "", 'PASTE RAW DATA HERE'!GE$8)</f>
        <v/>
      </c>
      <c r="GD20" s="2" t="str">
        <f>IF('PASTE RAW DATA HERE'!GF$8=0, "", 'PASTE RAW DATA HERE'!GF$8)</f>
        <v/>
      </c>
      <c r="GE20" s="2" t="str">
        <f>IF('PASTE RAW DATA HERE'!GG$8=0, "", 'PASTE RAW DATA HERE'!GG$8)</f>
        <v/>
      </c>
      <c r="GF20" s="2" t="str">
        <f>IF('PASTE RAW DATA HERE'!GH$8=0, "", 'PASTE RAW DATA HERE'!GH$8)</f>
        <v/>
      </c>
      <c r="GG20" s="2" t="str">
        <f>IF('PASTE RAW DATA HERE'!GI$8=0, "", 'PASTE RAW DATA HERE'!GI$8)</f>
        <v/>
      </c>
    </row>
    <row r="21" spans="1:189" x14ac:dyDescent="0.25">
      <c r="A21" s="2">
        <f>IF('PASTE RAW DATA HERE'!C$9=0, "", 'PASTE RAW DATA HERE'!C$9)</f>
        <v>29</v>
      </c>
      <c r="B21" s="2">
        <f>IF('PASTE RAW DATA HERE'!D$9=0, "", 'PASTE RAW DATA HERE'!D$9)</f>
        <v>30</v>
      </c>
      <c r="C21" s="2">
        <f>IF('PASTE RAW DATA HERE'!E$9=0, "", 'PASTE RAW DATA HERE'!E$9)</f>
        <v>31</v>
      </c>
      <c r="D21" s="2">
        <f>IF('PASTE RAW DATA HERE'!F$9=0, "", 'PASTE RAW DATA HERE'!F$9)</f>
        <v>1</v>
      </c>
      <c r="E21" s="2">
        <f>IF('PASTE RAW DATA HERE'!G$9=0, "", 'PASTE RAW DATA HERE'!G$9)</f>
        <v>2</v>
      </c>
      <c r="F21" s="2">
        <f>IF('PASTE RAW DATA HERE'!H$9=0, "", 'PASTE RAW DATA HERE'!H$9)</f>
        <v>3</v>
      </c>
      <c r="G21" s="2">
        <f>IF('PASTE RAW DATA HERE'!I$9=0, "", 'PASTE RAW DATA HERE'!I$9)</f>
        <v>4</v>
      </c>
      <c r="H21" s="2">
        <f>IF('PASTE RAW DATA HERE'!J$9=0, "", 'PASTE RAW DATA HERE'!J$9)</f>
        <v>5</v>
      </c>
      <c r="I21" s="2">
        <f>IF('PASTE RAW DATA HERE'!K$9=0, "", 'PASTE RAW DATA HERE'!K$9)</f>
        <v>6</v>
      </c>
      <c r="J21" s="2">
        <f>IF('PASTE RAW DATA HERE'!L$9=0, "", 'PASTE RAW DATA HERE'!L$9)</f>
        <v>7</v>
      </c>
      <c r="K21" s="2">
        <f>IF('PASTE RAW DATA HERE'!M$9=0, "", 'PASTE RAW DATA HERE'!M$9)</f>
        <v>8</v>
      </c>
      <c r="L21" s="2">
        <f>IF('PASTE RAW DATA HERE'!N$9=0, "", 'PASTE RAW DATA HERE'!N$9)</f>
        <v>9</v>
      </c>
      <c r="M21" s="2">
        <f>IF('PASTE RAW DATA HERE'!O$9=0, "", 'PASTE RAW DATA HERE'!O$9)</f>
        <v>10</v>
      </c>
      <c r="N21" s="2">
        <f>IF('PASTE RAW DATA HERE'!P$9=0, "", 'PASTE RAW DATA HERE'!P$9)</f>
        <v>11</v>
      </c>
      <c r="O21" s="2">
        <f>IF('PASTE RAW DATA HERE'!Q$9=0, "", 'PASTE RAW DATA HERE'!Q$9)</f>
        <v>12</v>
      </c>
      <c r="P21" s="2">
        <f>IF('PASTE RAW DATA HERE'!R$9=0, "", 'PASTE RAW DATA HERE'!R$9)</f>
        <v>13</v>
      </c>
      <c r="Q21" s="2">
        <f>IF('PASTE RAW DATA HERE'!S$9=0, "", 'PASTE RAW DATA HERE'!S$9)</f>
        <v>14</v>
      </c>
      <c r="R21" s="2">
        <f>IF('PASTE RAW DATA HERE'!T$9=0, "", 'PASTE RAW DATA HERE'!T$9)</f>
        <v>15</v>
      </c>
      <c r="S21" s="2">
        <f>IF('PASTE RAW DATA HERE'!U$9=0, "", 'PASTE RAW DATA HERE'!U$9)</f>
        <v>16</v>
      </c>
      <c r="T21" s="2">
        <f>IF('PASTE RAW DATA HERE'!V$9=0, "", 'PASTE RAW DATA HERE'!V$9)</f>
        <v>17</v>
      </c>
      <c r="U21" s="2">
        <f>IF('PASTE RAW DATA HERE'!W$9=0, "", 'PASTE RAW DATA HERE'!W$9)</f>
        <v>18</v>
      </c>
      <c r="V21" s="2">
        <f>IF('PASTE RAW DATA HERE'!X$9=0, "", 'PASTE RAW DATA HERE'!X$9)</f>
        <v>19</v>
      </c>
      <c r="W21" s="2">
        <f>IF('PASTE RAW DATA HERE'!Y$9=0, "", 'PASTE RAW DATA HERE'!Y$9)</f>
        <v>20</v>
      </c>
      <c r="X21" s="2">
        <f>IF('PASTE RAW DATA HERE'!Z$9=0, "", 'PASTE RAW DATA HERE'!Z$9)</f>
        <v>21</v>
      </c>
      <c r="Y21" s="2">
        <f>IF('PASTE RAW DATA HERE'!AA$9=0, "", 'PASTE RAW DATA HERE'!AA$9)</f>
        <v>22</v>
      </c>
      <c r="Z21" s="2">
        <f>IF('PASTE RAW DATA HERE'!AB$9=0, "", 'PASTE RAW DATA HERE'!AB$9)</f>
        <v>23</v>
      </c>
      <c r="AA21" s="2">
        <f>IF('PASTE RAW DATA HERE'!AC$9=0, "", 'PASTE RAW DATA HERE'!AC$9)</f>
        <v>24</v>
      </c>
      <c r="AB21" s="2">
        <f>IF('PASTE RAW DATA HERE'!AD$9=0, "", 'PASTE RAW DATA HERE'!AD$9)</f>
        <v>25</v>
      </c>
      <c r="AC21" s="2">
        <f>IF('PASTE RAW DATA HERE'!AE$9=0, "", 'PASTE RAW DATA HERE'!AE$9)</f>
        <v>26</v>
      </c>
      <c r="AD21" s="2">
        <f>IF('PASTE RAW DATA HERE'!AF$9=0, "", 'PASTE RAW DATA HERE'!AF$9)</f>
        <v>27</v>
      </c>
      <c r="AE21" s="2">
        <f>IF('PASTE RAW DATA HERE'!AG$9=0, "", 'PASTE RAW DATA HERE'!AG$9)</f>
        <v>28</v>
      </c>
      <c r="AF21" s="2">
        <f>IF('PASTE RAW DATA HERE'!AH$9=0, "", 'PASTE RAW DATA HERE'!AH$9)</f>
        <v>29</v>
      </c>
      <c r="AG21" s="2">
        <f>IF('PASTE RAW DATA HERE'!AI$9=0, "", 'PASTE RAW DATA HERE'!AI$9)</f>
        <v>30</v>
      </c>
      <c r="AH21" s="2">
        <f>IF('PASTE RAW DATA HERE'!AJ$9=0, "", 'PASTE RAW DATA HERE'!AJ$9)</f>
        <v>31</v>
      </c>
      <c r="AI21" s="2">
        <f>IF('PASTE RAW DATA HERE'!AK$9=0, "", 'PASTE RAW DATA HERE'!AK$9)</f>
        <v>1</v>
      </c>
      <c r="AJ21" s="2">
        <f>IF('PASTE RAW DATA HERE'!AL$9=0, "", 'PASTE RAW DATA HERE'!AL$9)</f>
        <v>2</v>
      </c>
      <c r="AK21" s="2">
        <f>IF('PASTE RAW DATA HERE'!AM$9=0, "", 'PASTE RAW DATA HERE'!AM$9)</f>
        <v>3</v>
      </c>
      <c r="AL21" s="2">
        <f>IF('PASTE RAW DATA HERE'!AN$9=0, "", 'PASTE RAW DATA HERE'!AN$9)</f>
        <v>4</v>
      </c>
      <c r="AM21" s="2">
        <f>IF('PASTE RAW DATA HERE'!AO$9=0, "", 'PASTE RAW DATA HERE'!AO$9)</f>
        <v>5</v>
      </c>
      <c r="AN21" s="2">
        <f>IF('PASTE RAW DATA HERE'!AP$9=0, "", 'PASTE RAW DATA HERE'!AP$9)</f>
        <v>6</v>
      </c>
      <c r="AO21" s="2">
        <f>IF('PASTE RAW DATA HERE'!AQ$9=0, "", 'PASTE RAW DATA HERE'!AQ$9)</f>
        <v>7</v>
      </c>
      <c r="AP21" s="2">
        <f>IF('PASTE RAW DATA HERE'!AR$9=0, "", 'PASTE RAW DATA HERE'!AR$9)</f>
        <v>8</v>
      </c>
      <c r="AQ21" s="2">
        <f>IF('PASTE RAW DATA HERE'!AS$9=0, "", 'PASTE RAW DATA HERE'!AS$9)</f>
        <v>9</v>
      </c>
      <c r="AR21" s="2">
        <f>IF('PASTE RAW DATA HERE'!AT$9=0, "", 'PASTE RAW DATA HERE'!AT$9)</f>
        <v>10</v>
      </c>
      <c r="AS21" s="2">
        <f>IF('PASTE RAW DATA HERE'!AU$9=0, "", 'PASTE RAW DATA HERE'!AU$9)</f>
        <v>11</v>
      </c>
      <c r="AT21" s="2">
        <f>IF('PASTE RAW DATA HERE'!AV$9=0, "", 'PASTE RAW DATA HERE'!AV$9)</f>
        <v>12</v>
      </c>
      <c r="AU21" s="2">
        <f>IF('PASTE RAW DATA HERE'!AW$9=0, "", 'PASTE RAW DATA HERE'!AW$9)</f>
        <v>13</v>
      </c>
      <c r="AV21" s="2">
        <f>IF('PASTE RAW DATA HERE'!AX$9=0, "", 'PASTE RAW DATA HERE'!AX$9)</f>
        <v>14</v>
      </c>
      <c r="AW21" s="2">
        <f>IF('PASTE RAW DATA HERE'!AY$9=0, "", 'PASTE RAW DATA HERE'!AY$9)</f>
        <v>15</v>
      </c>
      <c r="AX21" s="2">
        <f>IF('PASTE RAW DATA HERE'!AZ$9=0, "", 'PASTE RAW DATA HERE'!AZ$9)</f>
        <v>16</v>
      </c>
      <c r="AY21" s="2">
        <f>IF('PASTE RAW DATA HERE'!BA$9=0, "", 'PASTE RAW DATA HERE'!BA$9)</f>
        <v>17</v>
      </c>
      <c r="AZ21" s="2">
        <f>IF('PASTE RAW DATA HERE'!BB$9=0, "", 'PASTE RAW DATA HERE'!BB$9)</f>
        <v>18</v>
      </c>
      <c r="BA21" s="2">
        <f>IF('PASTE RAW DATA HERE'!BC$9=0, "", 'PASTE RAW DATA HERE'!BC$9)</f>
        <v>19</v>
      </c>
      <c r="BB21" s="2">
        <f>IF('PASTE RAW DATA HERE'!BD$9=0, "", 'PASTE RAW DATA HERE'!BD$9)</f>
        <v>20</v>
      </c>
      <c r="BC21" s="2">
        <f>IF('PASTE RAW DATA HERE'!BE$9=0, "", 'PASTE RAW DATA HERE'!BE$9)</f>
        <v>21</v>
      </c>
      <c r="BD21" s="2">
        <f>IF('PASTE RAW DATA HERE'!BF$9=0, "", 'PASTE RAW DATA HERE'!BF$9)</f>
        <v>22</v>
      </c>
      <c r="BE21" s="2">
        <f>IF('PASTE RAW DATA HERE'!BG$9=0, "", 'PASTE RAW DATA HERE'!BG$9)</f>
        <v>23</v>
      </c>
      <c r="BF21" s="2">
        <f>IF('PASTE RAW DATA HERE'!BH$9=0, "", 'PASTE RAW DATA HERE'!BH$9)</f>
        <v>24</v>
      </c>
      <c r="BG21" s="2">
        <f>IF('PASTE RAW DATA HERE'!BI$9=0, "", 'PASTE RAW DATA HERE'!BI$9)</f>
        <v>25</v>
      </c>
      <c r="BH21" s="2">
        <f>IF('PASTE RAW DATA HERE'!BJ$9=0, "", 'PASTE RAW DATA HERE'!BJ$9)</f>
        <v>26</v>
      </c>
      <c r="BI21" s="2">
        <f>IF('PASTE RAW DATA HERE'!BK$9=0, "", 'PASTE RAW DATA HERE'!BK$9)</f>
        <v>27</v>
      </c>
      <c r="BJ21" s="2">
        <f>IF('PASTE RAW DATA HERE'!BL$9=0, "", 'PASTE RAW DATA HERE'!BL$9)</f>
        <v>28</v>
      </c>
      <c r="BK21" s="2">
        <f>IF('PASTE RAW DATA HERE'!BM$9=0, "", 'PASTE RAW DATA HERE'!BM$9)</f>
        <v>1</v>
      </c>
      <c r="BL21" s="2">
        <f>IF('PASTE RAW DATA HERE'!BN$9=0, "", 'PASTE RAW DATA HERE'!BN$9)</f>
        <v>2</v>
      </c>
      <c r="BM21" s="2">
        <f>IF('PASTE RAW DATA HERE'!BO$9=0, "", 'PASTE RAW DATA HERE'!BO$9)</f>
        <v>3</v>
      </c>
      <c r="BN21" s="2">
        <f>IF('PASTE RAW DATA HERE'!BP$9=0, "", 'PASTE RAW DATA HERE'!BP$9)</f>
        <v>4</v>
      </c>
      <c r="BO21" s="2">
        <f>IF('PASTE RAW DATA HERE'!BQ$9=0, "", 'PASTE RAW DATA HERE'!BQ$9)</f>
        <v>5</v>
      </c>
      <c r="BP21" s="2">
        <f>IF('PASTE RAW DATA HERE'!BR$9=0, "", 'PASTE RAW DATA HERE'!BR$9)</f>
        <v>6</v>
      </c>
      <c r="BQ21" s="2">
        <f>IF('PASTE RAW DATA HERE'!BS$9=0, "", 'PASTE RAW DATA HERE'!BS$9)</f>
        <v>7</v>
      </c>
      <c r="BR21" s="2">
        <f>IF('PASTE RAW DATA HERE'!BT$9=0, "", 'PASTE RAW DATA HERE'!BT$9)</f>
        <v>8</v>
      </c>
      <c r="BS21" s="2">
        <f>IF('PASTE RAW DATA HERE'!BU$9=0, "", 'PASTE RAW DATA HERE'!BU$9)</f>
        <v>9</v>
      </c>
      <c r="BT21" s="2">
        <f>IF('PASTE RAW DATA HERE'!BV$9=0, "", 'PASTE RAW DATA HERE'!BV$9)</f>
        <v>10</v>
      </c>
      <c r="BU21" s="2">
        <f>IF('PASTE RAW DATA HERE'!BW$9=0, "", 'PASTE RAW DATA HERE'!BW$9)</f>
        <v>11</v>
      </c>
      <c r="BV21" s="2">
        <f>IF('PASTE RAW DATA HERE'!BX$9=0, "", 'PASTE RAW DATA HERE'!BX$9)</f>
        <v>12</v>
      </c>
      <c r="BW21" s="2">
        <f>IF('PASTE RAW DATA HERE'!BY$9=0, "", 'PASTE RAW DATA HERE'!BY$9)</f>
        <v>13</v>
      </c>
      <c r="BX21" s="2">
        <f>IF('PASTE RAW DATA HERE'!BZ$9=0, "", 'PASTE RAW DATA HERE'!BZ$9)</f>
        <v>14</v>
      </c>
      <c r="BY21" s="2">
        <f>IF('PASTE RAW DATA HERE'!CA$9=0, "", 'PASTE RAW DATA HERE'!CA$9)</f>
        <v>15</v>
      </c>
      <c r="BZ21" s="2">
        <f>IF('PASTE RAW DATA HERE'!CB$9=0, "", 'PASTE RAW DATA HERE'!CB$9)</f>
        <v>16</v>
      </c>
      <c r="CA21" s="2">
        <f>IF('PASTE RAW DATA HERE'!CC$9=0, "", 'PASTE RAW DATA HERE'!CC$9)</f>
        <v>17</v>
      </c>
      <c r="CB21" s="2">
        <f>IF('PASTE RAW DATA HERE'!CD$9=0, "", 'PASTE RAW DATA HERE'!CD$9)</f>
        <v>18</v>
      </c>
      <c r="CC21" s="2">
        <f>IF('PASTE RAW DATA HERE'!CE$9=0, "", 'PASTE RAW DATA HERE'!CE$9)</f>
        <v>19</v>
      </c>
      <c r="CD21" s="2">
        <f>IF('PASTE RAW DATA HERE'!CF$9=0, "", 'PASTE RAW DATA HERE'!CF$9)</f>
        <v>20</v>
      </c>
      <c r="CE21" s="2">
        <f>IF('PASTE RAW DATA HERE'!CG$9=0, "", 'PASTE RAW DATA HERE'!CG$9)</f>
        <v>21</v>
      </c>
      <c r="CF21" s="2">
        <f>IF('PASTE RAW DATA HERE'!CH$9=0, "", 'PASTE RAW DATA HERE'!CH$9)</f>
        <v>22</v>
      </c>
      <c r="CG21" s="2">
        <f>IF('PASTE RAW DATA HERE'!CI$9=0, "", 'PASTE RAW DATA HERE'!CI$9)</f>
        <v>23</v>
      </c>
      <c r="CH21" s="2">
        <f>IF('PASTE RAW DATA HERE'!CJ$9=0, "", 'PASTE RAW DATA HERE'!CJ$9)</f>
        <v>24</v>
      </c>
      <c r="CI21" s="2">
        <f>IF('PASTE RAW DATA HERE'!CK$9=0, "", 'PASTE RAW DATA HERE'!CK$9)</f>
        <v>25</v>
      </c>
      <c r="CJ21" s="2">
        <f>IF('PASTE RAW DATA HERE'!CL$9=0, "", 'PASTE RAW DATA HERE'!CL$9)</f>
        <v>26</v>
      </c>
      <c r="CK21" s="2">
        <f>IF('PASTE RAW DATA HERE'!CM$9=0, "", 'PASTE RAW DATA HERE'!CM$9)</f>
        <v>27</v>
      </c>
      <c r="CL21" s="2">
        <f>IF('PASTE RAW DATA HERE'!CN$9=0, "", 'PASTE RAW DATA HERE'!CN$9)</f>
        <v>28</v>
      </c>
      <c r="CM21" s="2">
        <f>IF('PASTE RAW DATA HERE'!CO$9=0, "", 'PASTE RAW DATA HERE'!CO$9)</f>
        <v>29</v>
      </c>
      <c r="CN21" s="2">
        <f>IF('PASTE RAW DATA HERE'!CP$9=0, "", 'PASTE RAW DATA HERE'!CP$9)</f>
        <v>30</v>
      </c>
      <c r="CO21" s="2">
        <f>IF('PASTE RAW DATA HERE'!CQ$9=0, "", 'PASTE RAW DATA HERE'!CQ$9)</f>
        <v>31</v>
      </c>
      <c r="CP21" s="2">
        <f>IF('PASTE RAW DATA HERE'!CR$9=0, "", 'PASTE RAW DATA HERE'!CR$9)</f>
        <v>1</v>
      </c>
      <c r="CQ21" s="2">
        <f>IF('PASTE RAW DATA HERE'!CS$9=0, "", 'PASTE RAW DATA HERE'!CS$9)</f>
        <v>2</v>
      </c>
      <c r="CR21" s="2">
        <f>IF('PASTE RAW DATA HERE'!CT$9=0, "", 'PASTE RAW DATA HERE'!CT$9)</f>
        <v>3</v>
      </c>
      <c r="CS21" s="2">
        <f>IF('PASTE RAW DATA HERE'!CU$9=0, "", 'PASTE RAW DATA HERE'!CU$9)</f>
        <v>4</v>
      </c>
      <c r="CT21" s="2">
        <f>IF('PASTE RAW DATA HERE'!CV$9=0, "", 'PASTE RAW DATA HERE'!CV$9)</f>
        <v>5</v>
      </c>
      <c r="CU21" s="2">
        <f>IF('PASTE RAW DATA HERE'!CW$9=0, "", 'PASTE RAW DATA HERE'!CW$9)</f>
        <v>6</v>
      </c>
      <c r="CV21" s="2">
        <f>IF('PASTE RAW DATA HERE'!CX$9=0, "", 'PASTE RAW DATA HERE'!CX$9)</f>
        <v>7</v>
      </c>
      <c r="CW21" s="2">
        <f>IF('PASTE RAW DATA HERE'!CY$9=0, "", 'PASTE RAW DATA HERE'!CY$9)</f>
        <v>8</v>
      </c>
      <c r="CX21" s="2">
        <f>IF('PASTE RAW DATA HERE'!CZ$9=0, "", 'PASTE RAW DATA HERE'!CZ$9)</f>
        <v>9</v>
      </c>
      <c r="CY21" s="2">
        <f>IF('PASTE RAW DATA HERE'!DA$9=0, "", 'PASTE RAW DATA HERE'!DA$9)</f>
        <v>10</v>
      </c>
      <c r="CZ21" s="2">
        <f>IF('PASTE RAW DATA HERE'!DB$9=0, "", 'PASTE RAW DATA HERE'!DB$9)</f>
        <v>11</v>
      </c>
      <c r="DA21" s="2">
        <f>IF('PASTE RAW DATA HERE'!DC$9=0, "", 'PASTE RAW DATA HERE'!DC$9)</f>
        <v>12</v>
      </c>
      <c r="DB21" s="2">
        <f>IF('PASTE RAW DATA HERE'!DD$9=0, "", 'PASTE RAW DATA HERE'!DD$9)</f>
        <v>13</v>
      </c>
      <c r="DC21" s="2">
        <f>IF('PASTE RAW DATA HERE'!DE$9=0, "", 'PASTE RAW DATA HERE'!DE$9)</f>
        <v>14</v>
      </c>
      <c r="DD21" s="2">
        <f>IF('PASTE RAW DATA HERE'!DF$9=0, "", 'PASTE RAW DATA HERE'!DF$9)</f>
        <v>15</v>
      </c>
      <c r="DE21" s="2">
        <f>IF('PASTE RAW DATA HERE'!DG$9=0, "", 'PASTE RAW DATA HERE'!DG$9)</f>
        <v>16</v>
      </c>
      <c r="DF21" s="2">
        <f>IF('PASTE RAW DATA HERE'!DH$9=0, "", 'PASTE RAW DATA HERE'!DH$9)</f>
        <v>17</v>
      </c>
      <c r="DG21" s="2">
        <f>IF('PASTE RAW DATA HERE'!DI$9=0, "", 'PASTE RAW DATA HERE'!DI$9)</f>
        <v>18</v>
      </c>
      <c r="DH21" s="2">
        <f>IF('PASTE RAW DATA HERE'!DJ$9=0, "", 'PASTE RAW DATA HERE'!DJ$9)</f>
        <v>19</v>
      </c>
      <c r="DI21" s="2" t="str">
        <f>IF('PASTE RAW DATA HERE'!DK$9=0, "", 'PASTE RAW DATA HERE'!DK$9)</f>
        <v/>
      </c>
      <c r="DJ21" s="2" t="str">
        <f>IF('PASTE RAW DATA HERE'!DL$9=0, "", 'PASTE RAW DATA HERE'!DL$9)</f>
        <v/>
      </c>
      <c r="DK21" s="2" t="str">
        <f>IF('PASTE RAW DATA HERE'!DM$9=0, "", 'PASTE RAW DATA HERE'!DM$9)</f>
        <v/>
      </c>
      <c r="DL21" s="2" t="str">
        <f>IF('PASTE RAW DATA HERE'!DN$9=0, "", 'PASTE RAW DATA HERE'!DN$9)</f>
        <v/>
      </c>
      <c r="DM21" s="2" t="str">
        <f>IF('PASTE RAW DATA HERE'!DO$9=0, "", 'PASTE RAW DATA HERE'!DO$9)</f>
        <v/>
      </c>
      <c r="DN21" s="2" t="str">
        <f>IF('PASTE RAW DATA HERE'!DP$9=0, "", 'PASTE RAW DATA HERE'!DP$9)</f>
        <v/>
      </c>
      <c r="DO21" s="2" t="str">
        <f>IF('PASTE RAW DATA HERE'!DQ$9=0, "", 'PASTE RAW DATA HERE'!DQ$9)</f>
        <v/>
      </c>
      <c r="DP21" s="2" t="str">
        <f>IF('PASTE RAW DATA HERE'!DR$9=0, "", 'PASTE RAW DATA HERE'!DR$9)</f>
        <v/>
      </c>
      <c r="DQ21" s="2" t="str">
        <f>IF('PASTE RAW DATA HERE'!DS$9=0, "", 'PASTE RAW DATA HERE'!DS$9)</f>
        <v/>
      </c>
      <c r="DR21" s="2" t="str">
        <f>IF('PASTE RAW DATA HERE'!DT$9=0, "", 'PASTE RAW DATA HERE'!DT$9)</f>
        <v/>
      </c>
      <c r="DS21" s="2" t="str">
        <f>IF('PASTE RAW DATA HERE'!DU$9=0, "", 'PASTE RAW DATA HERE'!DU$9)</f>
        <v/>
      </c>
      <c r="DT21" s="2" t="str">
        <f>IF('PASTE RAW DATA HERE'!DV$9=0, "", 'PASTE RAW DATA HERE'!DV$9)</f>
        <v/>
      </c>
      <c r="DU21" s="2" t="str">
        <f>IF('PASTE RAW DATA HERE'!DW$9=0, "", 'PASTE RAW DATA HERE'!DW$9)</f>
        <v/>
      </c>
      <c r="DV21" s="2" t="str">
        <f>IF('PASTE RAW DATA HERE'!DX$9=0, "", 'PASTE RAW DATA HERE'!DX$9)</f>
        <v/>
      </c>
      <c r="DW21" s="2" t="str">
        <f>IF('PASTE RAW DATA HERE'!DY$9=0, "", 'PASTE RAW DATA HERE'!DY$9)</f>
        <v/>
      </c>
      <c r="DX21" s="2" t="str">
        <f>IF('PASTE RAW DATA HERE'!DZ$9=0, "", 'PASTE RAW DATA HERE'!DZ$9)</f>
        <v/>
      </c>
      <c r="DY21" s="2" t="str">
        <f>IF('PASTE RAW DATA HERE'!EA$9=0, "", 'PASTE RAW DATA HERE'!EA$9)</f>
        <v/>
      </c>
      <c r="DZ21" s="2" t="str">
        <f>IF('PASTE RAW DATA HERE'!EB$9=0, "", 'PASTE RAW DATA HERE'!EB$9)</f>
        <v/>
      </c>
      <c r="EA21" s="2" t="str">
        <f>IF('PASTE RAW DATA HERE'!EC$9=0, "", 'PASTE RAW DATA HERE'!EC$9)</f>
        <v/>
      </c>
      <c r="EB21" s="2" t="str">
        <f>IF('PASTE RAW DATA HERE'!ED$9=0, "", 'PASTE RAW DATA HERE'!ED$9)</f>
        <v/>
      </c>
      <c r="EC21" s="2" t="str">
        <f>IF('PASTE RAW DATA HERE'!EE$9=0, "", 'PASTE RAW DATA HERE'!EE$9)</f>
        <v/>
      </c>
      <c r="ED21" s="2" t="str">
        <f>IF('PASTE RAW DATA HERE'!EF$9=0, "", 'PASTE RAW DATA HERE'!EF$9)</f>
        <v/>
      </c>
      <c r="EE21" s="2" t="str">
        <f>IF('PASTE RAW DATA HERE'!EG$9=0, "", 'PASTE RAW DATA HERE'!EG$9)</f>
        <v/>
      </c>
      <c r="EF21" s="2" t="str">
        <f>IF('PASTE RAW DATA HERE'!EH$9=0, "", 'PASTE RAW DATA HERE'!EH$9)</f>
        <v/>
      </c>
      <c r="EG21" s="2" t="str">
        <f>IF('PASTE RAW DATA HERE'!EI$9=0, "", 'PASTE RAW DATA HERE'!EI$9)</f>
        <v/>
      </c>
      <c r="EH21" s="2" t="str">
        <f>IF('PASTE RAW DATA HERE'!EJ$9=0, "", 'PASTE RAW DATA HERE'!EJ$9)</f>
        <v/>
      </c>
      <c r="EI21" s="2" t="str">
        <f>IF('PASTE RAW DATA HERE'!EK$9=0, "", 'PASTE RAW DATA HERE'!EK$9)</f>
        <v/>
      </c>
      <c r="EJ21" s="2" t="str">
        <f>IF('PASTE RAW DATA HERE'!EL$9=0, "", 'PASTE RAW DATA HERE'!EL$9)</f>
        <v/>
      </c>
      <c r="EK21" s="2" t="str">
        <f>IF('PASTE RAW DATA HERE'!EM$9=0, "", 'PASTE RAW DATA HERE'!EM$9)</f>
        <v/>
      </c>
      <c r="EL21" s="2" t="str">
        <f>IF('PASTE RAW DATA HERE'!EN$9=0, "", 'PASTE RAW DATA HERE'!EN$9)</f>
        <v/>
      </c>
      <c r="EM21" s="2" t="str">
        <f>IF('PASTE RAW DATA HERE'!EO$9=0, "", 'PASTE RAW DATA HERE'!EO$9)</f>
        <v/>
      </c>
      <c r="EN21" s="2" t="str">
        <f>IF('PASTE RAW DATA HERE'!EP$9=0, "", 'PASTE RAW DATA HERE'!EP$9)</f>
        <v/>
      </c>
      <c r="EO21" s="2" t="str">
        <f>IF('PASTE RAW DATA HERE'!EQ$9=0, "", 'PASTE RAW DATA HERE'!EQ$9)</f>
        <v/>
      </c>
      <c r="EP21" s="2" t="str">
        <f>IF('PASTE RAW DATA HERE'!ER$9=0, "", 'PASTE RAW DATA HERE'!ER$9)</f>
        <v/>
      </c>
      <c r="EQ21" s="2" t="str">
        <f>IF('PASTE RAW DATA HERE'!ES$9=0, "", 'PASTE RAW DATA HERE'!ES$9)</f>
        <v/>
      </c>
      <c r="ER21" s="2" t="str">
        <f>IF('PASTE RAW DATA HERE'!ET$9=0, "", 'PASTE RAW DATA HERE'!ET$9)</f>
        <v/>
      </c>
      <c r="ES21" s="2" t="str">
        <f>IF('PASTE RAW DATA HERE'!EU$9=0, "", 'PASTE RAW DATA HERE'!EU$9)</f>
        <v/>
      </c>
      <c r="ET21" s="2" t="str">
        <f>IF('PASTE RAW DATA HERE'!EV$9=0, "", 'PASTE RAW DATA HERE'!EV$9)</f>
        <v/>
      </c>
      <c r="EU21" s="2" t="str">
        <f>IF('PASTE RAW DATA HERE'!EW$9=0, "", 'PASTE RAW DATA HERE'!EW$9)</f>
        <v/>
      </c>
      <c r="EV21" s="2" t="str">
        <f>IF('PASTE RAW DATA HERE'!EX$9=0, "", 'PASTE RAW DATA HERE'!EX$9)</f>
        <v/>
      </c>
      <c r="EW21" s="2" t="str">
        <f>IF('PASTE RAW DATA HERE'!EY$9=0, "", 'PASTE RAW DATA HERE'!EY$9)</f>
        <v/>
      </c>
      <c r="EX21" s="2" t="str">
        <f>IF('PASTE RAW DATA HERE'!EZ$9=0, "", 'PASTE RAW DATA HERE'!EZ$9)</f>
        <v/>
      </c>
      <c r="EY21" s="2" t="str">
        <f>IF('PASTE RAW DATA HERE'!FA$9=0, "", 'PASTE RAW DATA HERE'!FA$9)</f>
        <v/>
      </c>
      <c r="EZ21" s="2" t="str">
        <f>IF('PASTE RAW DATA HERE'!FB$9=0, "", 'PASTE RAW DATA HERE'!FB$9)</f>
        <v/>
      </c>
      <c r="FA21" s="2" t="str">
        <f>IF('PASTE RAW DATA HERE'!FC$9=0, "", 'PASTE RAW DATA HERE'!FC$9)</f>
        <v/>
      </c>
      <c r="FB21" s="2" t="str">
        <f>IF('PASTE RAW DATA HERE'!FD$9=0, "", 'PASTE RAW DATA HERE'!FD$9)</f>
        <v/>
      </c>
      <c r="FC21" s="2" t="str">
        <f>IF('PASTE RAW DATA HERE'!FE$9=0, "", 'PASTE RAW DATA HERE'!FE$9)</f>
        <v/>
      </c>
      <c r="FD21" s="2" t="str">
        <f>IF('PASTE RAW DATA HERE'!FF$9=0, "", 'PASTE RAW DATA HERE'!FF$9)</f>
        <v/>
      </c>
      <c r="FE21" s="2" t="str">
        <f>IF('PASTE RAW DATA HERE'!FG$9=0, "", 'PASTE RAW DATA HERE'!FG$9)</f>
        <v/>
      </c>
      <c r="FF21" s="2" t="str">
        <f>IF('PASTE RAW DATA HERE'!FH$9=0, "", 'PASTE RAW DATA HERE'!FH$9)</f>
        <v/>
      </c>
      <c r="FG21" s="2" t="str">
        <f>IF('PASTE RAW DATA HERE'!FI$9=0, "", 'PASTE RAW DATA HERE'!FI$9)</f>
        <v/>
      </c>
      <c r="FH21" s="2" t="str">
        <f>IF('PASTE RAW DATA HERE'!FJ$9=0, "", 'PASTE RAW DATA HERE'!FJ$9)</f>
        <v/>
      </c>
      <c r="FI21" s="2" t="str">
        <f>IF('PASTE RAW DATA HERE'!FK$9=0, "", 'PASTE RAW DATA HERE'!FK$9)</f>
        <v/>
      </c>
      <c r="FJ21" s="2" t="str">
        <f>IF('PASTE RAW DATA HERE'!FL$9=0, "", 'PASTE RAW DATA HERE'!FL$9)</f>
        <v/>
      </c>
      <c r="FK21" s="2" t="str">
        <f>IF('PASTE RAW DATA HERE'!FM$9=0, "", 'PASTE RAW DATA HERE'!FM$9)</f>
        <v/>
      </c>
      <c r="FL21" s="2" t="str">
        <f>IF('PASTE RAW DATA HERE'!FN$9=0, "", 'PASTE RAW DATA HERE'!FN$9)</f>
        <v/>
      </c>
      <c r="FM21" s="2" t="str">
        <f>IF('PASTE RAW DATA HERE'!FO$9=0, "", 'PASTE RAW DATA HERE'!FO$9)</f>
        <v/>
      </c>
      <c r="FN21" s="2" t="str">
        <f>IF('PASTE RAW DATA HERE'!FP$9=0, "", 'PASTE RAW DATA HERE'!FP$9)</f>
        <v/>
      </c>
      <c r="FO21" s="2" t="str">
        <f>IF('PASTE RAW DATA HERE'!FQ$9=0, "", 'PASTE RAW DATA HERE'!FQ$9)</f>
        <v/>
      </c>
      <c r="FP21" s="2" t="str">
        <f>IF('PASTE RAW DATA HERE'!FR$9=0, "", 'PASTE RAW DATA HERE'!FR$9)</f>
        <v/>
      </c>
      <c r="FQ21" s="2" t="str">
        <f>IF('PASTE RAW DATA HERE'!FS$9=0, "", 'PASTE RAW DATA HERE'!FS$9)</f>
        <v/>
      </c>
      <c r="FR21" s="2" t="str">
        <f>IF('PASTE RAW DATA HERE'!FT$9=0, "", 'PASTE RAW DATA HERE'!FT$9)</f>
        <v/>
      </c>
      <c r="FS21" s="2" t="str">
        <f>IF('PASTE RAW DATA HERE'!FU$9=0, "", 'PASTE RAW DATA HERE'!FU$9)</f>
        <v/>
      </c>
      <c r="FT21" s="2" t="str">
        <f>IF('PASTE RAW DATA HERE'!FV$9=0, "", 'PASTE RAW DATA HERE'!FV$9)</f>
        <v/>
      </c>
      <c r="FU21" s="2" t="str">
        <f>IF('PASTE RAW DATA HERE'!FW$9=0, "", 'PASTE RAW DATA HERE'!FW$9)</f>
        <v/>
      </c>
      <c r="FV21" s="2" t="str">
        <f>IF('PASTE RAW DATA HERE'!FX$9=0, "", 'PASTE RAW DATA HERE'!FX$9)</f>
        <v/>
      </c>
      <c r="FW21" s="2" t="str">
        <f>IF('PASTE RAW DATA HERE'!FY$9=0, "", 'PASTE RAW DATA HERE'!FY$9)</f>
        <v/>
      </c>
      <c r="FX21" s="2" t="str">
        <f>IF('PASTE RAW DATA HERE'!FZ$9=0, "", 'PASTE RAW DATA HERE'!FZ$9)</f>
        <v/>
      </c>
      <c r="FY21" s="2" t="str">
        <f>IF('PASTE RAW DATA HERE'!GA$9=0, "", 'PASTE RAW DATA HERE'!GA$9)</f>
        <v/>
      </c>
      <c r="FZ21" s="2" t="str">
        <f>IF('PASTE RAW DATA HERE'!GB$9=0, "", 'PASTE RAW DATA HERE'!GB$9)</f>
        <v/>
      </c>
      <c r="GA21" s="2" t="str">
        <f>IF('PASTE RAW DATA HERE'!GC$9=0, "", 'PASTE RAW DATA HERE'!GC$9)</f>
        <v/>
      </c>
      <c r="GB21" s="2" t="str">
        <f>IF('PASTE RAW DATA HERE'!GD$9=0, "", 'PASTE RAW DATA HERE'!GD$9)</f>
        <v/>
      </c>
      <c r="GC21" s="2" t="str">
        <f>IF('PASTE RAW DATA HERE'!GE$9=0, "", 'PASTE RAW DATA HERE'!GE$9)</f>
        <v/>
      </c>
      <c r="GD21" s="2" t="str">
        <f>IF('PASTE RAW DATA HERE'!GF$9=0, "", 'PASTE RAW DATA HERE'!GF$9)</f>
        <v/>
      </c>
      <c r="GE21" s="2" t="str">
        <f>IF('PASTE RAW DATA HERE'!GG$9=0, "", 'PASTE RAW DATA HERE'!GG$9)</f>
        <v/>
      </c>
      <c r="GF21" s="2" t="str">
        <f>IF('PASTE RAW DATA HERE'!GH$9=0, "", 'PASTE RAW DATA HERE'!GH$9)</f>
        <v/>
      </c>
      <c r="GG21" s="2" t="str">
        <f>IF('PASTE RAW DATA HERE'!GI$9=0, "", 'PASTE RAW DATA HERE'!GI$9)</f>
        <v/>
      </c>
    </row>
    <row r="22" spans="1:189" x14ac:dyDescent="0.25">
      <c r="A22" s="5">
        <f>IFERROR(DATEVALUE(A21&amp;" "&amp;A20&amp;" "&amp;Calculation!K14), "")</f>
        <v>43828</v>
      </c>
      <c r="B22" s="5">
        <f>IFERROR(DATEVALUE(B21&amp;" "&amp;B20&amp;" "&amp;Calculation!L14), "")</f>
        <v>43829</v>
      </c>
      <c r="C22" s="5">
        <f>IFERROR(DATEVALUE(C21&amp;" "&amp;C20&amp;" "&amp;Calculation!M14), "")</f>
        <v>43830</v>
      </c>
      <c r="D22" s="5">
        <f>IFERROR(DATEVALUE(D21&amp;" "&amp;D20&amp;" "&amp;Calculation!N14), "")</f>
        <v>43466</v>
      </c>
      <c r="E22" s="5">
        <f>IFERROR(DATEVALUE(E21&amp;" "&amp;E20&amp;" "&amp;Calculation!O14), "")</f>
        <v>43467</v>
      </c>
      <c r="F22" s="5">
        <f>IFERROR(DATEVALUE(F21&amp;" "&amp;F20&amp;" "&amp;Calculation!P14), "")</f>
        <v>43468</v>
      </c>
      <c r="G22" s="5">
        <f>IFERROR(DATEVALUE(G21&amp;" "&amp;G20&amp;" "&amp;Calculation!Q14), "")</f>
        <v>43469</v>
      </c>
      <c r="H22" s="5">
        <f>IFERROR(DATEVALUE(H21&amp;" "&amp;H20&amp;" "&amp;Calculation!R14), "")</f>
        <v>43470</v>
      </c>
      <c r="I22" s="5">
        <f>IFERROR(DATEVALUE(I21&amp;" "&amp;I20&amp;" "&amp;Calculation!S14), "")</f>
        <v>43471</v>
      </c>
      <c r="J22" s="5">
        <f>IFERROR(DATEVALUE(J21&amp;" "&amp;J20&amp;" "&amp;Calculation!T14), "")</f>
        <v>43472</v>
      </c>
      <c r="K22" s="5">
        <f>IFERROR(DATEVALUE(K21&amp;" "&amp;K20&amp;" "&amp;Calculation!U14), "")</f>
        <v>43473</v>
      </c>
      <c r="L22" s="5">
        <f>IFERROR(DATEVALUE(L21&amp;" "&amp;L20&amp;" "&amp;Calculation!V14), "")</f>
        <v>43474</v>
      </c>
      <c r="M22" s="5">
        <f>IFERROR(DATEVALUE(M21&amp;" "&amp;M20&amp;" "&amp;Calculation!W14), "")</f>
        <v>43475</v>
      </c>
      <c r="N22" s="5">
        <f>IFERROR(DATEVALUE(N21&amp;" "&amp;N20&amp;" "&amp;Calculation!X14), "")</f>
        <v>43476</v>
      </c>
      <c r="O22" s="5">
        <f>IFERROR(DATEVALUE(O21&amp;" "&amp;O20&amp;" "&amp;Calculation!Y14), "")</f>
        <v>43477</v>
      </c>
      <c r="P22" s="5">
        <f>IFERROR(DATEVALUE(P21&amp;" "&amp;P20&amp;" "&amp;Calculation!Z14), "")</f>
        <v>43478</v>
      </c>
      <c r="Q22" s="5">
        <f>IFERROR(DATEVALUE(Q21&amp;" "&amp;Q20&amp;" "&amp;Calculation!AA14), "")</f>
        <v>43479</v>
      </c>
      <c r="R22" s="5">
        <f>IFERROR(DATEVALUE(R21&amp;" "&amp;R20&amp;" "&amp;Calculation!AB14), "")</f>
        <v>43480</v>
      </c>
      <c r="S22" s="5">
        <f>IFERROR(DATEVALUE(S21&amp;" "&amp;S20&amp;" "&amp;Calculation!AC14), "")</f>
        <v>43481</v>
      </c>
      <c r="T22" s="5">
        <f>IFERROR(DATEVALUE(T21&amp;" "&amp;T20&amp;" "&amp;Calculation!AD14), "")</f>
        <v>43482</v>
      </c>
      <c r="U22" s="5">
        <f>IFERROR(DATEVALUE(U21&amp;" "&amp;U20&amp;" "&amp;Calculation!AE14), "")</f>
        <v>43483</v>
      </c>
      <c r="V22" s="5">
        <f>IFERROR(DATEVALUE(V21&amp;" "&amp;V20&amp;" "&amp;Calculation!AF14), "")</f>
        <v>43484</v>
      </c>
      <c r="W22" s="5">
        <f>IFERROR(DATEVALUE(W21&amp;" "&amp;W20&amp;" "&amp;Calculation!AG14), "")</f>
        <v>43485</v>
      </c>
      <c r="X22" s="5">
        <f>IFERROR(DATEVALUE(X21&amp;" "&amp;X20&amp;" "&amp;Calculation!AH14), "")</f>
        <v>43486</v>
      </c>
      <c r="Y22" s="5">
        <f>IFERROR(DATEVALUE(Y21&amp;" "&amp;Y20&amp;" "&amp;Calculation!AI14), "")</f>
        <v>43487</v>
      </c>
      <c r="Z22" s="5">
        <f>IFERROR(DATEVALUE(Z21&amp;" "&amp;Z20&amp;" "&amp;Calculation!AJ14), "")</f>
        <v>43488</v>
      </c>
      <c r="AA22" s="5">
        <f>IFERROR(DATEVALUE(AA21&amp;" "&amp;AA20&amp;" "&amp;Calculation!AK14), "")</f>
        <v>43489</v>
      </c>
      <c r="AB22" s="5">
        <f>IFERROR(DATEVALUE(AB21&amp;" "&amp;AB20&amp;" "&amp;Calculation!AL14), "")</f>
        <v>43490</v>
      </c>
      <c r="AC22" s="5">
        <f>IFERROR(DATEVALUE(AC21&amp;" "&amp;AC20&amp;" "&amp;Calculation!AM14), "")</f>
        <v>43491</v>
      </c>
      <c r="AD22" s="5">
        <f>IFERROR(DATEVALUE(AD21&amp;" "&amp;AD20&amp;" "&amp;Calculation!AN14), "")</f>
        <v>43492</v>
      </c>
      <c r="AE22" s="5">
        <f>IFERROR(DATEVALUE(AE21&amp;" "&amp;AE20&amp;" "&amp;Calculation!AO14), "")</f>
        <v>43493</v>
      </c>
      <c r="AF22" s="5">
        <f>IFERROR(DATEVALUE(AF21&amp;" "&amp;AF20&amp;" "&amp;Calculation!AP14), "")</f>
        <v>43494</v>
      </c>
      <c r="AG22" s="5">
        <f>IFERROR(DATEVALUE(AG21&amp;" "&amp;AG20&amp;" "&amp;Calculation!AQ14), "")</f>
        <v>43495</v>
      </c>
      <c r="AH22" s="5">
        <f>IFERROR(DATEVALUE(AH21&amp;" "&amp;AH20&amp;" "&amp;Calculation!AR14), "")</f>
        <v>43496</v>
      </c>
      <c r="AI22" s="5">
        <f>IFERROR(DATEVALUE(AI21&amp;" "&amp;AI20&amp;" "&amp;Calculation!AS14), "")</f>
        <v>43497</v>
      </c>
      <c r="AJ22" s="5">
        <f>IFERROR(DATEVALUE(AJ21&amp;" "&amp;AJ20&amp;" "&amp;Calculation!AT14), "")</f>
        <v>43498</v>
      </c>
      <c r="AK22" s="5">
        <f>IFERROR(DATEVALUE(AK21&amp;" "&amp;AK20&amp;" "&amp;Calculation!AU14), "")</f>
        <v>43499</v>
      </c>
      <c r="AL22" s="5">
        <f>IFERROR(DATEVALUE(AL21&amp;" "&amp;AL20&amp;" "&amp;Calculation!AV14), "")</f>
        <v>43500</v>
      </c>
      <c r="AM22" s="5">
        <f>IFERROR(DATEVALUE(AM21&amp;" "&amp;AM20&amp;" "&amp;Calculation!AW14), "")</f>
        <v>43501</v>
      </c>
      <c r="AN22" s="5">
        <f>IFERROR(DATEVALUE(AN21&amp;" "&amp;AN20&amp;" "&amp;Calculation!AX14), "")</f>
        <v>43502</v>
      </c>
      <c r="AO22" s="5">
        <f>IFERROR(DATEVALUE(AO21&amp;" "&amp;AO20&amp;" "&amp;Calculation!AY14), "")</f>
        <v>43503</v>
      </c>
      <c r="AP22" s="5">
        <f>IFERROR(DATEVALUE(AP21&amp;" "&amp;AP20&amp;" "&amp;Calculation!AZ14), "")</f>
        <v>43504</v>
      </c>
      <c r="AQ22" s="5">
        <f>IFERROR(DATEVALUE(AQ21&amp;" "&amp;AQ20&amp;" "&amp;Calculation!BA14), "")</f>
        <v>43505</v>
      </c>
      <c r="AR22" s="5">
        <f>IFERROR(DATEVALUE(AR21&amp;" "&amp;AR20&amp;" "&amp;Calculation!BB14), "")</f>
        <v>43506</v>
      </c>
      <c r="AS22" s="5">
        <f>IFERROR(DATEVALUE(AS21&amp;" "&amp;AS20&amp;" "&amp;Calculation!BC14), "")</f>
        <v>43507</v>
      </c>
      <c r="AT22" s="5">
        <f>IFERROR(DATEVALUE(AT21&amp;" "&amp;AT20&amp;" "&amp;Calculation!BD14), "")</f>
        <v>43508</v>
      </c>
      <c r="AU22" s="5">
        <f>IFERROR(DATEVALUE(AU21&amp;" "&amp;AU20&amp;" "&amp;Calculation!BE14), "")</f>
        <v>43509</v>
      </c>
      <c r="AV22" s="5">
        <f>IFERROR(DATEVALUE(AV21&amp;" "&amp;AV20&amp;" "&amp;Calculation!BF14), "")</f>
        <v>43510</v>
      </c>
      <c r="AW22" s="5">
        <f>IFERROR(DATEVALUE(AW21&amp;" "&amp;AW20&amp;" "&amp;Calculation!BG14), "")</f>
        <v>43511</v>
      </c>
      <c r="AX22" s="5">
        <f>IFERROR(DATEVALUE(AX21&amp;" "&amp;AX20&amp;" "&amp;Calculation!BH14), "")</f>
        <v>43512</v>
      </c>
      <c r="AY22" s="5">
        <f>IFERROR(DATEVALUE(AY21&amp;" "&amp;AY20&amp;" "&amp;Calculation!BI14), "")</f>
        <v>43513</v>
      </c>
      <c r="AZ22" s="5">
        <f>IFERROR(DATEVALUE(AZ21&amp;" "&amp;AZ20&amp;" "&amp;Calculation!BJ14), "")</f>
        <v>43514</v>
      </c>
      <c r="BA22" s="5">
        <f>IFERROR(DATEVALUE(BA21&amp;" "&amp;BA20&amp;" "&amp;Calculation!BK14), "")</f>
        <v>43515</v>
      </c>
      <c r="BB22" s="5">
        <f>IFERROR(DATEVALUE(BB21&amp;" "&amp;BB20&amp;" "&amp;Calculation!BL14), "")</f>
        <v>43516</v>
      </c>
      <c r="BC22" s="5">
        <f>IFERROR(DATEVALUE(BC21&amp;" "&amp;BC20&amp;" "&amp;Calculation!BM14), "")</f>
        <v>43517</v>
      </c>
      <c r="BD22" s="5">
        <f>IFERROR(DATEVALUE(BD21&amp;" "&amp;BD20&amp;" "&amp;Calculation!BN14), "")</f>
        <v>43518</v>
      </c>
      <c r="BE22" s="5">
        <f>IFERROR(DATEVALUE(BE21&amp;" "&amp;BE20&amp;" "&amp;Calculation!BO14), "")</f>
        <v>43519</v>
      </c>
      <c r="BF22" s="5">
        <f>IFERROR(DATEVALUE(BF21&amp;" "&amp;BF20&amp;" "&amp;Calculation!BP14), "")</f>
        <v>43520</v>
      </c>
      <c r="BG22" s="5">
        <f>IFERROR(DATEVALUE(BG21&amp;" "&amp;BG20&amp;" "&amp;Calculation!BQ14), "")</f>
        <v>43521</v>
      </c>
      <c r="BH22" s="5">
        <f>IFERROR(DATEVALUE(BH21&amp;" "&amp;BH20&amp;" "&amp;Calculation!BR14), "")</f>
        <v>43522</v>
      </c>
      <c r="BI22" s="5">
        <f>IFERROR(DATEVALUE(BI21&amp;" "&amp;BI20&amp;" "&amp;Calculation!BS14), "")</f>
        <v>43523</v>
      </c>
      <c r="BJ22" s="5">
        <f>IFERROR(DATEVALUE(BJ21&amp;" "&amp;BJ20&amp;" "&amp;Calculation!BT14), "")</f>
        <v>43524</v>
      </c>
      <c r="BK22" s="5">
        <f>IFERROR(DATEVALUE(BK21&amp;" "&amp;BK20&amp;" "&amp;Calculation!BU14), "")</f>
        <v>43525</v>
      </c>
      <c r="BL22" s="5">
        <f>IFERROR(DATEVALUE(BL21&amp;" "&amp;BL20&amp;" "&amp;Calculation!BV14), "")</f>
        <v>43526</v>
      </c>
      <c r="BM22" s="5">
        <f>IFERROR(DATEVALUE(BM21&amp;" "&amp;BM20&amp;" "&amp;Calculation!BW14), "")</f>
        <v>43527</v>
      </c>
      <c r="BN22" s="5">
        <f>IFERROR(DATEVALUE(BN21&amp;" "&amp;BN20&amp;" "&amp;Calculation!BX14), "")</f>
        <v>43528</v>
      </c>
      <c r="BO22" s="5">
        <f>IFERROR(DATEVALUE(BO21&amp;" "&amp;BO20&amp;" "&amp;Calculation!BY14), "")</f>
        <v>43529</v>
      </c>
      <c r="BP22" s="5">
        <f>IFERROR(DATEVALUE(BP21&amp;" "&amp;BP20&amp;" "&amp;Calculation!BZ14), "")</f>
        <v>43530</v>
      </c>
      <c r="BQ22" s="5">
        <f>IFERROR(DATEVALUE(BQ21&amp;" "&amp;BQ20&amp;" "&amp;Calculation!CA14), "")</f>
        <v>43531</v>
      </c>
      <c r="BR22" s="5">
        <f>IFERROR(DATEVALUE(BR21&amp;" "&amp;BR20&amp;" "&amp;Calculation!CB14), "")</f>
        <v>43532</v>
      </c>
      <c r="BS22" s="5">
        <f>IFERROR(DATEVALUE(BS21&amp;" "&amp;BS20&amp;" "&amp;Calculation!CC14), "")</f>
        <v>43533</v>
      </c>
      <c r="BT22" s="5">
        <f>IFERROR(DATEVALUE(BT21&amp;" "&amp;BT20&amp;" "&amp;Calculation!CD14), "")</f>
        <v>43534</v>
      </c>
      <c r="BU22" s="5">
        <f>IFERROR(DATEVALUE(BU21&amp;" "&amp;BU20&amp;" "&amp;Calculation!CE14), "")</f>
        <v>43535</v>
      </c>
      <c r="BV22" s="5">
        <f>IFERROR(DATEVALUE(BV21&amp;" "&amp;BV20&amp;" "&amp;Calculation!CF14), "")</f>
        <v>43536</v>
      </c>
      <c r="BW22" s="5">
        <f>IFERROR(DATEVALUE(BW21&amp;" "&amp;BW20&amp;" "&amp;Calculation!CG14), "")</f>
        <v>43537</v>
      </c>
      <c r="BX22" s="5">
        <f>IFERROR(DATEVALUE(BX21&amp;" "&amp;BX20&amp;" "&amp;Calculation!CH14), "")</f>
        <v>43538</v>
      </c>
      <c r="BY22" s="5">
        <f>IFERROR(DATEVALUE(BY21&amp;" "&amp;BY20&amp;" "&amp;Calculation!CI14), "")</f>
        <v>43539</v>
      </c>
      <c r="BZ22" s="5">
        <f>IFERROR(DATEVALUE(BZ21&amp;" "&amp;BZ20&amp;" "&amp;Calculation!CJ14), "")</f>
        <v>43540</v>
      </c>
      <c r="CA22" s="5">
        <f>IFERROR(DATEVALUE(CA21&amp;" "&amp;CA20&amp;" "&amp;Calculation!CK14), "")</f>
        <v>43541</v>
      </c>
      <c r="CB22" s="5">
        <f>IFERROR(DATEVALUE(CB21&amp;" "&amp;CB20&amp;" "&amp;Calculation!CL14), "")</f>
        <v>43542</v>
      </c>
      <c r="CC22" s="5">
        <f>IFERROR(DATEVALUE(CC21&amp;" "&amp;CC20&amp;" "&amp;Calculation!CM14), "")</f>
        <v>43543</v>
      </c>
      <c r="CD22" s="5">
        <f>IFERROR(DATEVALUE(CD21&amp;" "&amp;CD20&amp;" "&amp;Calculation!CN14), "")</f>
        <v>43544</v>
      </c>
      <c r="CE22" s="5">
        <f>IFERROR(DATEVALUE(CE21&amp;" "&amp;CE20&amp;" "&amp;Calculation!CO14), "")</f>
        <v>43545</v>
      </c>
      <c r="CF22" s="5">
        <f>IFERROR(DATEVALUE(CF21&amp;" "&amp;CF20&amp;" "&amp;Calculation!CP14), "")</f>
        <v>43546</v>
      </c>
      <c r="CG22" s="5">
        <f>IFERROR(DATEVALUE(CG21&amp;" "&amp;CG20&amp;" "&amp;Calculation!CQ14), "")</f>
        <v>43547</v>
      </c>
      <c r="CH22" s="5">
        <f>IFERROR(DATEVALUE(CH21&amp;" "&amp;CH20&amp;" "&amp;Calculation!CR14), "")</f>
        <v>43548</v>
      </c>
      <c r="CI22" s="5">
        <f>IFERROR(DATEVALUE(CI21&amp;" "&amp;CI20&amp;" "&amp;Calculation!CS14), "")</f>
        <v>43549</v>
      </c>
      <c r="CJ22" s="5">
        <f>IFERROR(DATEVALUE(CJ21&amp;" "&amp;CJ20&amp;" "&amp;Calculation!CT14), "")</f>
        <v>43550</v>
      </c>
      <c r="CK22" s="5">
        <f>IFERROR(DATEVALUE(CK21&amp;" "&amp;CK20&amp;" "&amp;Calculation!CU14), "")</f>
        <v>43551</v>
      </c>
      <c r="CL22" s="5">
        <f>IFERROR(DATEVALUE(CL21&amp;" "&amp;CL20&amp;" "&amp;Calculation!CV14), "")</f>
        <v>43552</v>
      </c>
      <c r="CM22" s="5">
        <f>IFERROR(DATEVALUE(CM21&amp;" "&amp;CM20&amp;" "&amp;Calculation!CW14), "")</f>
        <v>43553</v>
      </c>
      <c r="CN22" s="5">
        <f>IFERROR(DATEVALUE(CN21&amp;" "&amp;CN20&amp;" "&amp;Calculation!CX14), "")</f>
        <v>43554</v>
      </c>
      <c r="CO22" s="5">
        <f>IFERROR(DATEVALUE(CO21&amp;" "&amp;CO20&amp;" "&amp;Calculation!CY14), "")</f>
        <v>43555</v>
      </c>
      <c r="CP22" s="5">
        <f>IFERROR(DATEVALUE(CP21&amp;" "&amp;CP20&amp;" "&amp;Calculation!CZ14), "")</f>
        <v>43556</v>
      </c>
      <c r="CQ22" s="5">
        <f>IFERROR(DATEVALUE(CQ21&amp;" "&amp;CQ20&amp;" "&amp;Calculation!DA14), "")</f>
        <v>43557</v>
      </c>
      <c r="CR22" s="5">
        <f>IFERROR(DATEVALUE(CR21&amp;" "&amp;CR20&amp;" "&amp;Calculation!DB14), "")</f>
        <v>43558</v>
      </c>
      <c r="CS22" s="5">
        <f>IFERROR(DATEVALUE(CS21&amp;" "&amp;CS20&amp;" "&amp;Calculation!DC14), "")</f>
        <v>43559</v>
      </c>
      <c r="CT22" s="5">
        <f>IFERROR(DATEVALUE(CT21&amp;" "&amp;CT20&amp;" "&amp;Calculation!DD14), "")</f>
        <v>43560</v>
      </c>
      <c r="CU22" s="5">
        <f>IFERROR(DATEVALUE(CU21&amp;" "&amp;CU20&amp;" "&amp;Calculation!DE14), "")</f>
        <v>43561</v>
      </c>
      <c r="CV22" s="5">
        <f>IFERROR(DATEVALUE(CV21&amp;" "&amp;CV20&amp;" "&amp;Calculation!DF14), "")</f>
        <v>43562</v>
      </c>
      <c r="CW22" s="5">
        <f>IFERROR(DATEVALUE(CW21&amp;" "&amp;CW20&amp;" "&amp;Calculation!DG14), "")</f>
        <v>43563</v>
      </c>
      <c r="CX22" s="5">
        <f>IFERROR(DATEVALUE(CX21&amp;" "&amp;CX20&amp;" "&amp;Calculation!DH14), "")</f>
        <v>43564</v>
      </c>
      <c r="CY22" s="5">
        <f>IFERROR(DATEVALUE(CY21&amp;" "&amp;CY20&amp;" "&amp;Calculation!DI14), "")</f>
        <v>43565</v>
      </c>
      <c r="CZ22" s="5">
        <f>IFERROR(DATEVALUE(CZ21&amp;" "&amp;CZ20&amp;" "&amp;Calculation!DJ14), "")</f>
        <v>43566</v>
      </c>
      <c r="DA22" s="5">
        <f>IFERROR(DATEVALUE(DA21&amp;" "&amp;DA20&amp;" "&amp;Calculation!DK14), "")</f>
        <v>43567</v>
      </c>
      <c r="DB22" s="5">
        <f>IFERROR(DATEVALUE(DB21&amp;" "&amp;DB20&amp;" "&amp;Calculation!DL14), "")</f>
        <v>43568</v>
      </c>
      <c r="DC22" s="5">
        <f>IFERROR(DATEVALUE(DC21&amp;" "&amp;DC20&amp;" "&amp;Calculation!DM14), "")</f>
        <v>43569</v>
      </c>
      <c r="DD22" s="5">
        <f>IFERROR(DATEVALUE(DD21&amp;" "&amp;DD20&amp;" "&amp;Calculation!DN14), "")</f>
        <v>43570</v>
      </c>
      <c r="DE22" s="5">
        <f>IFERROR(DATEVALUE(DE21&amp;" "&amp;DE20&amp;" "&amp;Calculation!DO14), "")</f>
        <v>43571</v>
      </c>
      <c r="DF22" s="5">
        <f>IFERROR(DATEVALUE(DF21&amp;" "&amp;DF20&amp;" "&amp;Calculation!DP14), "")</f>
        <v>43572</v>
      </c>
      <c r="DG22" s="5">
        <f>IFERROR(DATEVALUE(DG21&amp;" "&amp;DG20&amp;" "&amp;Calculation!DQ14), "")</f>
        <v>43573</v>
      </c>
      <c r="DH22" s="5">
        <f>IFERROR(DATEVALUE(DH21&amp;" "&amp;DH20&amp;" "&amp;Calculation!DR14), "")</f>
        <v>43574</v>
      </c>
      <c r="DI22" s="5" t="str">
        <f>IFERROR(DATEVALUE(DI21&amp;" "&amp;DI20&amp;" "&amp;Calculation!DS14), "")</f>
        <v/>
      </c>
      <c r="DJ22" s="5" t="str">
        <f>IFERROR(DATEVALUE(DJ21&amp;" "&amp;DJ20&amp;" "&amp;Calculation!DT14), "")</f>
        <v/>
      </c>
      <c r="DK22" s="5" t="str">
        <f>IFERROR(DATEVALUE(DK21&amp;" "&amp;DK20&amp;" "&amp;Calculation!DU14), "")</f>
        <v/>
      </c>
      <c r="DL22" s="5" t="str">
        <f>IFERROR(DATEVALUE(DL21&amp;" "&amp;DL20&amp;" "&amp;Calculation!DV14), "")</f>
        <v/>
      </c>
      <c r="DM22" s="5" t="str">
        <f>IFERROR(DATEVALUE(DM21&amp;" "&amp;DM20&amp;" "&amp;Calculation!DW14), "")</f>
        <v/>
      </c>
      <c r="DN22" s="5" t="str">
        <f>IFERROR(DATEVALUE(DN21&amp;" "&amp;DN20&amp;" "&amp;Calculation!DX14), "")</f>
        <v/>
      </c>
      <c r="DO22" s="5" t="str">
        <f>IFERROR(DATEVALUE(DO21&amp;" "&amp;DO20&amp;" "&amp;Calculation!DY14), "")</f>
        <v/>
      </c>
      <c r="DP22" s="5" t="str">
        <f>IFERROR(DATEVALUE(DP21&amp;" "&amp;DP20&amp;" "&amp;Calculation!DZ14), "")</f>
        <v/>
      </c>
      <c r="DQ22" s="5" t="str">
        <f>IFERROR(DATEVALUE(DQ21&amp;" "&amp;DQ20&amp;" "&amp;Calculation!EA14), "")</f>
        <v/>
      </c>
      <c r="DR22" s="5" t="str">
        <f>IFERROR(DATEVALUE(DR21&amp;" "&amp;DR20&amp;" "&amp;Calculation!EB14), "")</f>
        <v/>
      </c>
      <c r="DS22" s="5" t="str">
        <f>IFERROR(DATEVALUE(DS21&amp;" "&amp;DS20&amp;" "&amp;Calculation!EC14), "")</f>
        <v/>
      </c>
      <c r="DT22" s="5" t="str">
        <f>IFERROR(DATEVALUE(DT21&amp;" "&amp;DT20&amp;" "&amp;Calculation!ED14), "")</f>
        <v/>
      </c>
      <c r="DU22" s="5" t="str">
        <f>IFERROR(DATEVALUE(DU21&amp;" "&amp;DU20&amp;" "&amp;Calculation!EE14), "")</f>
        <v/>
      </c>
      <c r="DV22" s="5" t="str">
        <f>IFERROR(DATEVALUE(DV21&amp;" "&amp;DV20&amp;" "&amp;Calculation!EF14), "")</f>
        <v/>
      </c>
      <c r="DW22" s="5" t="str">
        <f>IFERROR(DATEVALUE(DW21&amp;" "&amp;DW20&amp;" "&amp;Calculation!EG14), "")</f>
        <v/>
      </c>
      <c r="DX22" s="5" t="str">
        <f>IFERROR(DATEVALUE(DX21&amp;" "&amp;DX20&amp;" "&amp;Calculation!EH14), "")</f>
        <v/>
      </c>
      <c r="DY22" s="5" t="str">
        <f>IFERROR(DATEVALUE(DY21&amp;" "&amp;DY20&amp;" "&amp;Calculation!EI14), "")</f>
        <v/>
      </c>
      <c r="DZ22" s="5" t="str">
        <f>IFERROR(DATEVALUE(DZ21&amp;" "&amp;DZ20&amp;" "&amp;Calculation!EJ14), "")</f>
        <v/>
      </c>
      <c r="EA22" s="5" t="str">
        <f>IFERROR(DATEVALUE(EA21&amp;" "&amp;EA20&amp;" "&amp;Calculation!EK14), "")</f>
        <v/>
      </c>
      <c r="EB22" s="5" t="str">
        <f>IFERROR(DATEVALUE(EB21&amp;" "&amp;EB20&amp;" "&amp;Calculation!EL14), "")</f>
        <v/>
      </c>
      <c r="EC22" s="5" t="str">
        <f>IFERROR(DATEVALUE(EC21&amp;" "&amp;EC20&amp;" "&amp;Calculation!EM14), "")</f>
        <v/>
      </c>
      <c r="ED22" s="5" t="str">
        <f>IFERROR(DATEVALUE(ED21&amp;" "&amp;ED20&amp;" "&amp;Calculation!EN14), "")</f>
        <v/>
      </c>
      <c r="EE22" s="5" t="str">
        <f>IFERROR(DATEVALUE(EE21&amp;" "&amp;EE20&amp;" "&amp;Calculation!EO14), "")</f>
        <v/>
      </c>
      <c r="EF22" s="5" t="str">
        <f>IFERROR(DATEVALUE(EF21&amp;" "&amp;EF20&amp;" "&amp;Calculation!EP14), "")</f>
        <v/>
      </c>
      <c r="EG22" s="5" t="str">
        <f>IFERROR(DATEVALUE(EG21&amp;" "&amp;EG20&amp;" "&amp;Calculation!EQ14), "")</f>
        <v/>
      </c>
      <c r="EH22" s="5" t="str">
        <f>IFERROR(DATEVALUE(EH21&amp;" "&amp;EH20&amp;" "&amp;Calculation!ER14), "")</f>
        <v/>
      </c>
      <c r="EI22" s="5" t="str">
        <f>IFERROR(DATEVALUE(EI21&amp;" "&amp;EI20&amp;" "&amp;Calculation!ES14), "")</f>
        <v/>
      </c>
      <c r="EJ22" s="5" t="str">
        <f>IFERROR(DATEVALUE(EJ21&amp;" "&amp;EJ20&amp;" "&amp;Calculation!ET14), "")</f>
        <v/>
      </c>
      <c r="EK22" s="5" t="str">
        <f>IFERROR(DATEVALUE(EK21&amp;" "&amp;EK20&amp;" "&amp;Calculation!EU14), "")</f>
        <v/>
      </c>
      <c r="EL22" s="5" t="str">
        <f>IFERROR(DATEVALUE(EL21&amp;" "&amp;EL20&amp;" "&amp;Calculation!EV14), "")</f>
        <v/>
      </c>
      <c r="EM22" s="5" t="str">
        <f>IFERROR(DATEVALUE(EM21&amp;" "&amp;EM20&amp;" "&amp;Calculation!EW14), "")</f>
        <v/>
      </c>
      <c r="EN22" s="5" t="str">
        <f>IFERROR(DATEVALUE(EN21&amp;" "&amp;EN20&amp;" "&amp;Calculation!EX14), "")</f>
        <v/>
      </c>
      <c r="EO22" s="5" t="str">
        <f>IFERROR(DATEVALUE(EO21&amp;" "&amp;EO20&amp;" "&amp;Calculation!EY14), "")</f>
        <v/>
      </c>
      <c r="EP22" s="5" t="str">
        <f>IFERROR(DATEVALUE(EP21&amp;" "&amp;EP20&amp;" "&amp;Calculation!EZ14), "")</f>
        <v/>
      </c>
      <c r="EQ22" s="5" t="str">
        <f>IFERROR(DATEVALUE(EQ21&amp;" "&amp;EQ20&amp;" "&amp;Calculation!FA14), "")</f>
        <v/>
      </c>
      <c r="ER22" s="5" t="str">
        <f>IFERROR(DATEVALUE(ER21&amp;" "&amp;ER20&amp;" "&amp;Calculation!FB14), "")</f>
        <v/>
      </c>
      <c r="ES22" s="5" t="str">
        <f>IFERROR(DATEVALUE(ES21&amp;" "&amp;ES20&amp;" "&amp;Calculation!FC14), "")</f>
        <v/>
      </c>
      <c r="ET22" s="5" t="str">
        <f>IFERROR(DATEVALUE(ET21&amp;" "&amp;ET20&amp;" "&amp;Calculation!FD14), "")</f>
        <v/>
      </c>
      <c r="EU22" s="5" t="str">
        <f>IFERROR(DATEVALUE(EU21&amp;" "&amp;EU20&amp;" "&amp;Calculation!FE14), "")</f>
        <v/>
      </c>
      <c r="EV22" s="5" t="str">
        <f>IFERROR(DATEVALUE(EV21&amp;" "&amp;EV20&amp;" "&amp;Calculation!FF14), "")</f>
        <v/>
      </c>
      <c r="EW22" s="5" t="str">
        <f>IFERROR(DATEVALUE(EW21&amp;" "&amp;EW20&amp;" "&amp;Calculation!FG14), "")</f>
        <v/>
      </c>
      <c r="EX22" s="5" t="str">
        <f>IFERROR(DATEVALUE(EX21&amp;" "&amp;EX20&amp;" "&amp;Calculation!FH14), "")</f>
        <v/>
      </c>
      <c r="EY22" s="5" t="str">
        <f>IFERROR(DATEVALUE(EY21&amp;" "&amp;EY20&amp;" "&amp;Calculation!FI14), "")</f>
        <v/>
      </c>
      <c r="EZ22" s="5" t="str">
        <f>IFERROR(DATEVALUE(EZ21&amp;" "&amp;EZ20&amp;" "&amp;Calculation!FJ14), "")</f>
        <v/>
      </c>
      <c r="FA22" s="5" t="str">
        <f>IFERROR(DATEVALUE(FA21&amp;" "&amp;FA20&amp;" "&amp;Calculation!FK14), "")</f>
        <v/>
      </c>
      <c r="FB22" s="5" t="str">
        <f>IFERROR(DATEVALUE(FB21&amp;" "&amp;FB20&amp;" "&amp;Calculation!FL14), "")</f>
        <v/>
      </c>
      <c r="FC22" s="5" t="str">
        <f>IFERROR(DATEVALUE(FC21&amp;" "&amp;FC20&amp;" "&amp;Calculation!FM14), "")</f>
        <v/>
      </c>
      <c r="FD22" s="5" t="str">
        <f>IFERROR(DATEVALUE(FD21&amp;" "&amp;FD20&amp;" "&amp;Calculation!FN14), "")</f>
        <v/>
      </c>
      <c r="FE22" s="5" t="str">
        <f>IFERROR(DATEVALUE(FE21&amp;" "&amp;FE20&amp;" "&amp;Calculation!FO14), "")</f>
        <v/>
      </c>
      <c r="FF22" s="5" t="str">
        <f>IFERROR(DATEVALUE(FF21&amp;" "&amp;FF20&amp;" "&amp;Calculation!FP14), "")</f>
        <v/>
      </c>
      <c r="FG22" s="5" t="str">
        <f>IFERROR(DATEVALUE(FG21&amp;" "&amp;FG20&amp;" "&amp;Calculation!FQ14), "")</f>
        <v/>
      </c>
      <c r="FH22" s="5" t="str">
        <f>IFERROR(DATEVALUE(FH21&amp;" "&amp;FH20&amp;" "&amp;Calculation!FR14), "")</f>
        <v/>
      </c>
      <c r="FI22" s="5" t="str">
        <f>IFERROR(DATEVALUE(FI21&amp;" "&amp;FI20&amp;" "&amp;Calculation!FS14), "")</f>
        <v/>
      </c>
      <c r="FJ22" s="5" t="str">
        <f>IFERROR(DATEVALUE(FJ21&amp;" "&amp;FJ20&amp;" "&amp;Calculation!FT14), "")</f>
        <v/>
      </c>
      <c r="FK22" s="5" t="str">
        <f>IFERROR(DATEVALUE(FK21&amp;" "&amp;FK20&amp;" "&amp;Calculation!FU14), "")</f>
        <v/>
      </c>
      <c r="FL22" s="5" t="str">
        <f>IFERROR(DATEVALUE(FL21&amp;" "&amp;FL20&amp;" "&amp;Calculation!FV14), "")</f>
        <v/>
      </c>
      <c r="FM22" s="5" t="str">
        <f>IFERROR(DATEVALUE(FM21&amp;" "&amp;FM20&amp;" "&amp;Calculation!FW14), "")</f>
        <v/>
      </c>
      <c r="FN22" s="5" t="str">
        <f>IFERROR(DATEVALUE(FN21&amp;" "&amp;FN20&amp;" "&amp;Calculation!FX14), "")</f>
        <v/>
      </c>
      <c r="FO22" s="5" t="str">
        <f>IFERROR(DATEVALUE(FO21&amp;" "&amp;FO20&amp;" "&amp;Calculation!FY14), "")</f>
        <v/>
      </c>
      <c r="FP22" s="5" t="str">
        <f>IFERROR(DATEVALUE(FP21&amp;" "&amp;FP20&amp;" "&amp;Calculation!FZ14), "")</f>
        <v/>
      </c>
      <c r="FQ22" s="5" t="str">
        <f>IFERROR(DATEVALUE(FQ21&amp;" "&amp;FQ20&amp;" "&amp;Calculation!GA14), "")</f>
        <v/>
      </c>
      <c r="FR22" s="5" t="str">
        <f>IFERROR(DATEVALUE(FR21&amp;" "&amp;FR20&amp;" "&amp;Calculation!GB14), "")</f>
        <v/>
      </c>
      <c r="FS22" s="5" t="str">
        <f>IFERROR(DATEVALUE(FS21&amp;" "&amp;FS20&amp;" "&amp;Calculation!GC14), "")</f>
        <v/>
      </c>
      <c r="FT22" s="5" t="str">
        <f>IFERROR(DATEVALUE(FT21&amp;" "&amp;FT20&amp;" "&amp;Calculation!GD14), "")</f>
        <v/>
      </c>
      <c r="FU22" s="5" t="str">
        <f>IFERROR(DATEVALUE(FU21&amp;" "&amp;FU20&amp;" "&amp;Calculation!GE14), "")</f>
        <v/>
      </c>
      <c r="FV22" s="5" t="str">
        <f>IFERROR(DATEVALUE(FV21&amp;" "&amp;FV20&amp;" "&amp;Calculation!GF14), "")</f>
        <v/>
      </c>
      <c r="FW22" s="5" t="str">
        <f>IFERROR(DATEVALUE(FW21&amp;" "&amp;FW20&amp;" "&amp;Calculation!GG14), "")</f>
        <v/>
      </c>
      <c r="FX22" s="5" t="str">
        <f>IFERROR(DATEVALUE(FX21&amp;" "&amp;FX20&amp;" "&amp;Calculation!GH14), "")</f>
        <v/>
      </c>
      <c r="FY22" s="5" t="str">
        <f>IFERROR(DATEVALUE(FY21&amp;" "&amp;FY20&amp;" "&amp;Calculation!GI14), "")</f>
        <v/>
      </c>
      <c r="FZ22" s="5" t="str">
        <f>IFERROR(DATEVALUE(FZ21&amp;" "&amp;FZ20&amp;" "&amp;Calculation!GJ14), "")</f>
        <v/>
      </c>
      <c r="GA22" s="5" t="str">
        <f>IFERROR(DATEVALUE(GA21&amp;" "&amp;GA20&amp;" "&amp;Calculation!GK14), "")</f>
        <v/>
      </c>
      <c r="GB22" s="5" t="str">
        <f>IFERROR(DATEVALUE(GB21&amp;" "&amp;GB20&amp;" "&amp;Calculation!GL14), "")</f>
        <v/>
      </c>
      <c r="GC22" s="5" t="str">
        <f>IFERROR(DATEVALUE(GC21&amp;" "&amp;GC20&amp;" "&amp;Calculation!GM14), "")</f>
        <v/>
      </c>
      <c r="GD22" s="5" t="str">
        <f>IFERROR(DATEVALUE(GD21&amp;" "&amp;GD20&amp;" "&amp;Calculation!GN14), "")</f>
        <v/>
      </c>
      <c r="GE22" s="5" t="str">
        <f>IFERROR(DATEVALUE(GE21&amp;" "&amp;GE20&amp;" "&amp;Calculation!GO14), "")</f>
        <v/>
      </c>
      <c r="GF22" s="5" t="str">
        <f>IFERROR(DATEVALUE(GF21&amp;" "&amp;GF20&amp;" "&amp;Calculation!GP14), "")</f>
        <v/>
      </c>
      <c r="GG22" s="5" t="str">
        <f>IFERROR(DATEVALUE(GG21&amp;" "&amp;GG20&amp;" "&amp;Calculation!GQ14), "")</f>
        <v/>
      </c>
    </row>
    <row r="23" spans="1:189" x14ac:dyDescent="0.25">
      <c r="A23" s="4">
        <f ca="1">Calculation!A$25</f>
        <v>4</v>
      </c>
      <c r="B23" s="4">
        <f ca="1">Calculation!B$25</f>
        <v>4</v>
      </c>
      <c r="C23" s="4">
        <f ca="1">Calculation!C$25</f>
        <v>4</v>
      </c>
      <c r="D23" s="4">
        <f ca="1">Calculation!D$25</f>
        <v>5</v>
      </c>
      <c r="E23" s="4">
        <f ca="1">Calculation!E$25</f>
        <v>5</v>
      </c>
      <c r="F23" s="4">
        <f ca="1">Calculation!F$25</f>
        <v>5</v>
      </c>
      <c r="G23" s="4">
        <f ca="1">Calculation!G$25</f>
        <v>4</v>
      </c>
      <c r="H23" s="4">
        <f ca="1">Calculation!H$25</f>
        <v>4</v>
      </c>
      <c r="I23" s="4">
        <f ca="1">Calculation!I$25</f>
        <v>1</v>
      </c>
      <c r="J23" s="4">
        <f ca="1">Calculation!J$25</f>
        <v>1</v>
      </c>
      <c r="K23" s="4">
        <f ca="1">Calculation!K$25</f>
        <v>1</v>
      </c>
      <c r="L23" s="4">
        <f ca="1">Calculation!L$25</f>
        <v>2</v>
      </c>
      <c r="M23" s="4">
        <f ca="1">Calculation!M$25</f>
        <v>2</v>
      </c>
      <c r="N23" s="4">
        <f ca="1">Calculation!N$25</f>
        <v>2</v>
      </c>
      <c r="O23" s="4">
        <f ca="1">Calculation!O$25</f>
        <v>2</v>
      </c>
      <c r="P23" s="4">
        <f ca="1">Calculation!P$25</f>
        <v>2</v>
      </c>
      <c r="Q23" s="4">
        <f ca="1">Calculation!Q$25</f>
        <v>1</v>
      </c>
      <c r="R23" s="4">
        <f ca="1">Calculation!R$25</f>
        <v>1</v>
      </c>
      <c r="S23" s="4">
        <f ca="1">Calculation!S$25</f>
        <v>1</v>
      </c>
      <c r="T23" s="4">
        <f ca="1">Calculation!T$25</f>
        <v>1</v>
      </c>
      <c r="U23" s="4">
        <f ca="1">Calculation!U$25</f>
        <v>1</v>
      </c>
      <c r="V23" s="4">
        <f ca="1">Calculation!V$25</f>
        <v>1</v>
      </c>
      <c r="W23" s="4">
        <f ca="1">Calculation!W$25</f>
        <v>1</v>
      </c>
      <c r="X23" s="4">
        <f ca="1">Calculation!X$25</f>
        <v>1</v>
      </c>
      <c r="Y23" s="4">
        <f ca="1">Calculation!Y$25</f>
        <v>1</v>
      </c>
      <c r="Z23" s="4">
        <f ca="1">Calculation!Z$25</f>
        <v>1</v>
      </c>
      <c r="AA23" s="4">
        <f ca="1">Calculation!AA$25</f>
        <v>1</v>
      </c>
      <c r="AB23" s="4">
        <f ca="1">Calculation!AB$25</f>
        <v>1</v>
      </c>
      <c r="AC23" s="4">
        <f ca="1">Calculation!AC$25</f>
        <v>1</v>
      </c>
      <c r="AD23" s="4" t="str">
        <f ca="1">Calculation!AD$25</f>
        <v/>
      </c>
      <c r="AE23" s="4" t="str">
        <f ca="1">Calculation!AE$25</f>
        <v/>
      </c>
      <c r="AF23" s="4" t="str">
        <f ca="1">Calculation!AF$25</f>
        <v/>
      </c>
      <c r="AG23" s="4" t="str">
        <f ca="1">Calculation!AG$25</f>
        <v/>
      </c>
      <c r="AH23" s="4" t="str">
        <f ca="1">Calculation!AH$25</f>
        <v/>
      </c>
      <c r="AI23" s="4" t="str">
        <f ca="1">Calculation!AI$25</f>
        <v/>
      </c>
      <c r="AJ23" s="4" t="str">
        <f ca="1">Calculation!AJ$25</f>
        <v/>
      </c>
      <c r="AK23" s="4" t="str">
        <f ca="1">Calculation!AK$25</f>
        <v/>
      </c>
      <c r="AL23" s="4" t="str">
        <f ca="1">Calculation!AL$25</f>
        <v/>
      </c>
      <c r="AM23" s="4" t="str">
        <f ca="1">Calculation!AM$25</f>
        <v/>
      </c>
      <c r="AN23" s="4" t="str">
        <f ca="1">Calculation!AN$25</f>
        <v/>
      </c>
      <c r="AO23" s="4" t="str">
        <f ca="1">Calculation!AO$25</f>
        <v/>
      </c>
      <c r="AP23" s="4" t="str">
        <f ca="1">Calculation!AP$25</f>
        <v/>
      </c>
      <c r="AQ23" s="4" t="str">
        <f ca="1">Calculation!AQ$25</f>
        <v/>
      </c>
      <c r="AR23" s="4" t="str">
        <f ca="1">Calculation!AR$25</f>
        <v/>
      </c>
      <c r="AS23" s="4" t="str">
        <f ca="1">Calculation!AS$25</f>
        <v/>
      </c>
      <c r="AT23" s="4" t="str">
        <f ca="1">Calculation!AT$25</f>
        <v/>
      </c>
      <c r="AU23" s="4" t="str">
        <f ca="1">Calculation!AU$25</f>
        <v/>
      </c>
      <c r="AV23" s="4" t="str">
        <f ca="1">Calculation!AV$25</f>
        <v/>
      </c>
      <c r="AW23" s="4" t="str">
        <f ca="1">Calculation!AW$25</f>
        <v/>
      </c>
      <c r="AX23" s="4" t="str">
        <f ca="1">Calculation!AX$25</f>
        <v/>
      </c>
      <c r="AY23" s="4" t="str">
        <f ca="1">Calculation!AY$25</f>
        <v/>
      </c>
      <c r="AZ23" s="4" t="str">
        <f ca="1">Calculation!AZ$25</f>
        <v/>
      </c>
      <c r="BA23" s="4" t="str">
        <f ca="1">Calculation!BA$25</f>
        <v/>
      </c>
      <c r="BB23" s="4" t="str">
        <f ca="1">Calculation!BB$25</f>
        <v/>
      </c>
      <c r="BC23" s="4" t="str">
        <f ca="1">Calculation!BC$25</f>
        <v/>
      </c>
      <c r="BD23" s="4" t="str">
        <f ca="1">Calculation!BD$25</f>
        <v/>
      </c>
      <c r="BE23" s="4" t="str">
        <f ca="1">Calculation!BE$25</f>
        <v/>
      </c>
      <c r="BF23" s="4" t="str">
        <f ca="1">Calculation!BF$25</f>
        <v/>
      </c>
      <c r="BG23" s="4" t="str">
        <f ca="1">Calculation!BG$25</f>
        <v/>
      </c>
      <c r="BH23" s="4" t="str">
        <f ca="1">Calculation!BH$25</f>
        <v/>
      </c>
      <c r="BI23" s="4" t="str">
        <f ca="1">Calculation!BI$25</f>
        <v/>
      </c>
      <c r="BJ23" s="4" t="str">
        <f ca="1">Calculation!BJ$25</f>
        <v/>
      </c>
      <c r="BK23" s="4" t="str">
        <f ca="1">Calculation!BK$25</f>
        <v/>
      </c>
      <c r="BL23" s="4" t="str">
        <f ca="1">Calculation!BL$25</f>
        <v/>
      </c>
      <c r="BM23" s="4" t="str">
        <f ca="1">Calculation!BM$25</f>
        <v/>
      </c>
      <c r="BN23" s="4" t="str">
        <f ca="1">Calculation!BN$25</f>
        <v/>
      </c>
      <c r="BO23" s="4" t="str">
        <f ca="1">Calculation!BO$25</f>
        <v/>
      </c>
      <c r="BP23" s="4" t="str">
        <f ca="1">Calculation!BP$25</f>
        <v/>
      </c>
      <c r="BQ23" s="4" t="str">
        <f ca="1">Calculation!BQ$25</f>
        <v/>
      </c>
      <c r="BR23" s="4" t="str">
        <f ca="1">Calculation!BR$25</f>
        <v/>
      </c>
      <c r="BS23" s="4" t="str">
        <f ca="1">Calculation!BS$25</f>
        <v/>
      </c>
      <c r="BT23" s="4" t="str">
        <f ca="1">Calculation!BT$25</f>
        <v/>
      </c>
      <c r="BU23" s="4" t="str">
        <f ca="1">Calculation!BU$25</f>
        <v/>
      </c>
      <c r="BV23" s="4" t="str">
        <f ca="1">Calculation!BV$25</f>
        <v/>
      </c>
      <c r="BW23" s="4" t="str">
        <f ca="1">Calculation!BW$25</f>
        <v/>
      </c>
      <c r="BX23" s="4" t="str">
        <f ca="1">Calculation!BX$25</f>
        <v/>
      </c>
      <c r="BY23" s="4" t="str">
        <f ca="1">Calculation!BY$25</f>
        <v/>
      </c>
      <c r="BZ23" s="4" t="str">
        <f ca="1">Calculation!BZ$25</f>
        <v/>
      </c>
      <c r="CA23" s="4" t="str">
        <f ca="1">Calculation!CA$25</f>
        <v/>
      </c>
      <c r="CB23" s="4" t="str">
        <f ca="1">Calculation!CB$25</f>
        <v/>
      </c>
      <c r="CC23" s="4" t="str">
        <f ca="1">Calculation!CC$25</f>
        <v/>
      </c>
      <c r="CD23" s="4" t="str">
        <f ca="1">Calculation!CD$25</f>
        <v/>
      </c>
      <c r="CE23" s="4" t="str">
        <f ca="1">Calculation!CE$25</f>
        <v/>
      </c>
      <c r="CF23" s="4" t="str">
        <f ca="1">Calculation!CF$25</f>
        <v/>
      </c>
      <c r="CG23" s="4" t="str">
        <f ca="1">Calculation!CG$25</f>
        <v/>
      </c>
      <c r="CH23" s="4" t="str">
        <f ca="1">Calculation!CH$25</f>
        <v/>
      </c>
      <c r="CI23" s="4" t="str">
        <f ca="1">Calculation!CI$25</f>
        <v/>
      </c>
      <c r="CJ23" s="4" t="str">
        <f ca="1">Calculation!CJ$25</f>
        <v/>
      </c>
      <c r="CK23" s="4" t="str">
        <f ca="1">Calculation!CK$25</f>
        <v/>
      </c>
      <c r="CL23" s="4" t="str">
        <f ca="1">Calculation!CL$25</f>
        <v/>
      </c>
      <c r="CM23" s="4" t="str">
        <f ca="1">Calculation!CM$25</f>
        <v/>
      </c>
      <c r="CN23" s="4" t="str">
        <f ca="1">Calculation!CN$25</f>
        <v/>
      </c>
      <c r="CO23" s="4" t="str">
        <f ca="1">Calculation!CO$25</f>
        <v/>
      </c>
      <c r="CP23" s="4" t="str">
        <f ca="1">Calculation!CP$25</f>
        <v/>
      </c>
      <c r="CQ23" s="4" t="str">
        <f ca="1">Calculation!CQ$25</f>
        <v/>
      </c>
      <c r="CR23" s="4" t="str">
        <f ca="1">Calculation!CR$25</f>
        <v/>
      </c>
      <c r="CS23" s="4" t="str">
        <f ca="1">Calculation!CS$25</f>
        <v/>
      </c>
      <c r="CT23" s="4" t="str">
        <f ca="1">Calculation!CT$25</f>
        <v/>
      </c>
      <c r="CU23" s="4" t="str">
        <f ca="1">Calculation!CU$25</f>
        <v/>
      </c>
      <c r="CV23" s="4" t="str">
        <f ca="1">Calculation!CV$25</f>
        <v/>
      </c>
      <c r="CW23" s="4" t="str">
        <f ca="1">Calculation!CW$25</f>
        <v/>
      </c>
      <c r="CX23" s="4" t="str">
        <f ca="1">Calculation!CX$25</f>
        <v/>
      </c>
      <c r="CY23" s="4" t="str">
        <f ca="1">Calculation!CY$25</f>
        <v/>
      </c>
      <c r="CZ23" s="4" t="str">
        <f ca="1">Calculation!CZ$25</f>
        <v/>
      </c>
      <c r="DA23" s="4" t="str">
        <f ca="1">Calculation!DA$25</f>
        <v/>
      </c>
      <c r="DB23" s="4" t="str">
        <f ca="1">Calculation!DB$25</f>
        <v/>
      </c>
      <c r="DC23" s="4" t="str">
        <f ca="1">Calculation!DC$25</f>
        <v/>
      </c>
      <c r="DD23" s="4" t="str">
        <f ca="1">Calculation!DD$25</f>
        <v/>
      </c>
      <c r="DE23" s="4" t="str">
        <f ca="1">Calculation!DE$25</f>
        <v/>
      </c>
      <c r="DF23" s="4" t="str">
        <f ca="1">Calculation!DF$25</f>
        <v/>
      </c>
      <c r="DG23" s="4" t="str">
        <f ca="1">Calculation!DG$25</f>
        <v/>
      </c>
      <c r="DH23" s="4" t="str">
        <f ca="1">Calculation!DH$25</f>
        <v/>
      </c>
      <c r="DI23" s="4" t="str">
        <f ca="1">Calculation!DI$25</f>
        <v/>
      </c>
      <c r="DJ23" s="4" t="str">
        <f ca="1">Calculation!DJ$25</f>
        <v/>
      </c>
      <c r="DK23" s="4" t="str">
        <f ca="1">Calculation!DK$25</f>
        <v/>
      </c>
      <c r="DL23" s="4" t="str">
        <f ca="1">Calculation!DL$25</f>
        <v/>
      </c>
      <c r="DM23" s="4" t="str">
        <f ca="1">Calculation!DM$25</f>
        <v/>
      </c>
      <c r="DN23" s="4" t="str">
        <f ca="1">Calculation!DN$25</f>
        <v/>
      </c>
      <c r="DO23" s="4" t="str">
        <f ca="1">Calculation!DO$25</f>
        <v/>
      </c>
      <c r="DP23" s="4" t="str">
        <f ca="1">Calculation!DP$25</f>
        <v/>
      </c>
      <c r="DQ23" s="4" t="str">
        <f ca="1">Calculation!DQ$25</f>
        <v/>
      </c>
      <c r="DR23" s="4" t="str">
        <f ca="1">Calculation!DR$25</f>
        <v/>
      </c>
      <c r="DS23" s="4" t="str">
        <f ca="1">Calculation!DS$25</f>
        <v/>
      </c>
      <c r="DT23" s="4" t="str">
        <f ca="1">Calculation!DT$25</f>
        <v/>
      </c>
      <c r="DU23" s="4" t="str">
        <f ca="1">Calculation!DU$25</f>
        <v/>
      </c>
      <c r="DV23" s="4" t="str">
        <f ca="1">Calculation!DV$25</f>
        <v/>
      </c>
      <c r="DW23" s="4" t="str">
        <f ca="1">Calculation!DW$25</f>
        <v/>
      </c>
      <c r="DX23" s="4" t="str">
        <f ca="1">Calculation!DX$25</f>
        <v/>
      </c>
      <c r="DY23" s="4" t="str">
        <f ca="1">Calculation!DY$25</f>
        <v/>
      </c>
      <c r="DZ23" s="4" t="str">
        <f ca="1">Calculation!DZ$25</f>
        <v/>
      </c>
      <c r="EA23" s="4" t="str">
        <f ca="1">Calculation!EA$25</f>
        <v/>
      </c>
      <c r="EB23" s="4" t="str">
        <f ca="1">Calculation!EB$25</f>
        <v/>
      </c>
      <c r="EC23" s="4" t="str">
        <f ca="1">Calculation!EC$25</f>
        <v/>
      </c>
      <c r="ED23" s="4" t="str">
        <f ca="1">Calculation!ED$25</f>
        <v/>
      </c>
      <c r="EE23" s="4" t="str">
        <f ca="1">Calculation!EE$25</f>
        <v/>
      </c>
      <c r="EF23" s="4" t="str">
        <f ca="1">Calculation!EF$25</f>
        <v/>
      </c>
      <c r="EG23" s="4" t="str">
        <f ca="1">Calculation!EG$25</f>
        <v/>
      </c>
      <c r="EH23" s="4" t="str">
        <f ca="1">Calculation!EH$25</f>
        <v/>
      </c>
      <c r="EI23" s="4" t="str">
        <f ca="1">Calculation!EI$25</f>
        <v/>
      </c>
      <c r="EJ23" s="4" t="str">
        <f ca="1">Calculation!EJ$25</f>
        <v/>
      </c>
      <c r="EK23" s="4" t="str">
        <f ca="1">Calculation!EK$25</f>
        <v/>
      </c>
      <c r="EL23" s="4" t="str">
        <f ca="1">Calculation!EL$25</f>
        <v/>
      </c>
      <c r="EM23" s="4" t="str">
        <f ca="1">Calculation!EM$25</f>
        <v/>
      </c>
      <c r="EN23" s="4" t="str">
        <f ca="1">Calculation!EN$25</f>
        <v/>
      </c>
      <c r="EO23" s="4" t="str">
        <f ca="1">Calculation!EO$25</f>
        <v/>
      </c>
      <c r="EP23" s="4" t="str">
        <f ca="1">Calculation!EP$25</f>
        <v/>
      </c>
      <c r="EQ23" s="4" t="str">
        <f ca="1">Calculation!EQ$25</f>
        <v/>
      </c>
      <c r="ER23" s="4" t="str">
        <f ca="1">Calculation!ER$25</f>
        <v/>
      </c>
      <c r="ES23" s="4" t="str">
        <f ca="1">Calculation!ES$25</f>
        <v/>
      </c>
      <c r="ET23" s="4" t="str">
        <f ca="1">Calculation!ET$25</f>
        <v/>
      </c>
      <c r="EU23" s="4" t="str">
        <f ca="1">Calculation!EU$25</f>
        <v/>
      </c>
      <c r="EV23" s="4" t="str">
        <f ca="1">Calculation!EV$25</f>
        <v/>
      </c>
      <c r="EW23" s="4" t="str">
        <f ca="1">Calculation!EW$25</f>
        <v/>
      </c>
      <c r="EX23" s="4" t="str">
        <f ca="1">Calculation!EX$25</f>
        <v/>
      </c>
      <c r="EY23" s="4" t="str">
        <f ca="1">Calculation!EY$25</f>
        <v/>
      </c>
      <c r="EZ23" s="4" t="str">
        <f ca="1">Calculation!EZ$25</f>
        <v/>
      </c>
      <c r="FA23" s="4" t="str">
        <f ca="1">Calculation!FA$25</f>
        <v/>
      </c>
      <c r="FB23" s="4" t="str">
        <f ca="1">Calculation!FB$25</f>
        <v/>
      </c>
      <c r="FC23" s="4" t="str">
        <f ca="1">Calculation!FC$25</f>
        <v/>
      </c>
      <c r="FD23" s="4" t="str">
        <f ca="1">Calculation!FD$25</f>
        <v/>
      </c>
      <c r="FE23" s="4" t="str">
        <f ca="1">Calculation!FE$25</f>
        <v/>
      </c>
      <c r="FF23" s="4" t="str">
        <f ca="1">Calculation!FF$25</f>
        <v/>
      </c>
      <c r="FG23" s="4" t="str">
        <f ca="1">Calculation!FG$25</f>
        <v/>
      </c>
      <c r="FH23" s="4" t="str">
        <f ca="1">Calculation!FH$25</f>
        <v/>
      </c>
      <c r="FI23" s="4" t="str">
        <f ca="1">Calculation!FI$25</f>
        <v/>
      </c>
      <c r="FJ23" s="4" t="str">
        <f ca="1">Calculation!FJ$25</f>
        <v/>
      </c>
      <c r="FK23" s="4" t="str">
        <f ca="1">Calculation!FK$25</f>
        <v/>
      </c>
      <c r="FL23" s="4" t="str">
        <f ca="1">Calculation!FL$25</f>
        <v/>
      </c>
      <c r="FM23" s="4" t="str">
        <f ca="1">Calculation!FM$25</f>
        <v/>
      </c>
      <c r="FN23" s="4" t="str">
        <f ca="1">Calculation!FN$25</f>
        <v/>
      </c>
      <c r="FO23" s="4" t="str">
        <f ca="1">Calculation!FO$25</f>
        <v/>
      </c>
      <c r="FP23" s="4" t="str">
        <f ca="1">Calculation!FP$25</f>
        <v/>
      </c>
      <c r="FQ23" s="4" t="str">
        <f ca="1">Calculation!FQ$25</f>
        <v/>
      </c>
      <c r="FR23" s="4" t="str">
        <f ca="1">Calculation!FR$25</f>
        <v/>
      </c>
      <c r="FS23" s="4" t="str">
        <f ca="1">Calculation!FS$25</f>
        <v/>
      </c>
      <c r="FT23" s="4" t="str">
        <f ca="1">Calculation!FT$25</f>
        <v/>
      </c>
      <c r="FU23" s="4" t="str">
        <f ca="1">Calculation!FU$25</f>
        <v/>
      </c>
      <c r="FV23" s="4" t="str">
        <f ca="1">Calculation!FV$25</f>
        <v/>
      </c>
      <c r="FW23" s="4" t="str">
        <f ca="1">Calculation!FW$25</f>
        <v/>
      </c>
      <c r="FX23" s="4" t="str">
        <f ca="1">Calculation!FX$25</f>
        <v/>
      </c>
      <c r="FY23" s="4" t="str">
        <f ca="1">Calculation!FY$25</f>
        <v/>
      </c>
      <c r="FZ23" s="4" t="str">
        <f ca="1">Calculation!FZ$25</f>
        <v/>
      </c>
      <c r="GA23" s="4" t="str">
        <f ca="1">Calculation!GA$25</f>
        <v/>
      </c>
      <c r="GB23" s="4" t="str">
        <f ca="1">Calculation!GB$25</f>
        <v/>
      </c>
      <c r="GC23" s="4" t="str">
        <f ca="1">Calculation!GC$25</f>
        <v/>
      </c>
      <c r="GD23" s="4" t="str">
        <f ca="1">Calculation!GD$25</f>
        <v/>
      </c>
      <c r="GE23" s="4" t="str">
        <f ca="1">Calculation!GE$25</f>
        <v/>
      </c>
      <c r="GF23" s="4" t="str">
        <f ca="1">Calculation!GF$25</f>
        <v/>
      </c>
      <c r="GG23" s="4" t="str">
        <f ca="1">Calculation!GG$25</f>
        <v/>
      </c>
    </row>
    <row r="25" spans="1:189" x14ac:dyDescent="0.25">
      <c r="A25" s="13" t="s">
        <v>20</v>
      </c>
      <c r="B25" s="3"/>
      <c r="C25" s="3"/>
      <c r="D25" s="3"/>
      <c r="E25" s="3"/>
      <c r="F25" s="3"/>
      <c r="G25" s="3"/>
      <c r="H25" s="13" t="s">
        <v>21</v>
      </c>
      <c r="I25" s="3"/>
      <c r="J25" s="3"/>
      <c r="K25" s="3"/>
      <c r="L25" s="3"/>
      <c r="M25" s="3"/>
    </row>
    <row r="26" spans="1:189" x14ac:dyDescent="0.25">
      <c r="A26" s="39" t="str">
        <f>"W/C "&amp;A9&amp;" "&amp;A8&amp;":"</f>
        <v>W/C 29 Dec:</v>
      </c>
      <c r="B26" s="40"/>
      <c r="C26" s="41">
        <f ca="1">IFERROR((Calculation!L13-AVERAGE(A11:G11))/Calculation!L13, "")</f>
        <v>0.84857142857142864</v>
      </c>
      <c r="D26" s="42" t="str">
        <f>"W/C "&amp;BE9&amp;" "&amp;BE8&amp;":"</f>
        <v>W/C 23 Feb:</v>
      </c>
      <c r="E26" s="43"/>
      <c r="F26" s="44">
        <f ca="1">IFERROR((Calculation!L13-AVERAGE(BE11:BK11))/Calculation!L13, "")</f>
        <v>0.68285714285714283</v>
      </c>
      <c r="H26" s="39" t="str">
        <f>"W/C "&amp;A9&amp;" "&amp;A8&amp;":"</f>
        <v>W/C 29 Dec:</v>
      </c>
      <c r="I26" s="40"/>
      <c r="J26" s="57">
        <f ca="1">IFERROR(IF(A8&lt;&gt;"", ROUND(AVERAGE(B11:G11), 0),""), "")</f>
        <v>8</v>
      </c>
      <c r="K26" s="58" t="str">
        <f>"W/C "&amp;BE9&amp;" "&amp;BE8&amp;":"</f>
        <v>W/C 23 Feb:</v>
      </c>
      <c r="L26" s="43"/>
      <c r="M26" s="59">
        <f ca="1">IFERROR(IF(BE8&lt;&gt;"", ROUND(AVERAGE(BF11:BK11),0),""), "")</f>
        <v>16</v>
      </c>
    </row>
    <row r="27" spans="1:189" x14ac:dyDescent="0.25">
      <c r="A27" s="45" t="str">
        <f>"W/C "&amp;H9&amp;" "&amp;H8&amp;":"</f>
        <v>W/C 5 Jan:</v>
      </c>
      <c r="B27" s="16"/>
      <c r="C27" s="32">
        <f ca="1">IFERROR((Calculation!L13-AVERAGE(H11:N11))/Calculation!L13, "")</f>
        <v>0.74</v>
      </c>
      <c r="D27" s="19" t="str">
        <f>"W/C "&amp;BL9&amp;" "&amp;BL8&amp;":"</f>
        <v>W/C 2 Mar:</v>
      </c>
      <c r="E27" s="18"/>
      <c r="F27" s="46">
        <f ca="1">IFERROR((Calculation!L13-AVERAGE(BL11:BR11))/Calculation!L13, "")</f>
        <v>0.65714285714285725</v>
      </c>
      <c r="H27" s="45" t="str">
        <f>"W/C "&amp;H9&amp;" "&amp;H8&amp;":"</f>
        <v>W/C 5 Jan:</v>
      </c>
      <c r="I27" s="16"/>
      <c r="J27" s="26">
        <f ca="1">IFERROR(IF(H8&lt;&gt;"",ROUND(AVERAGE(I11:N11),0),""), "")</f>
        <v>13</v>
      </c>
      <c r="K27" s="17" t="str">
        <f>"W/C "&amp;BL9&amp;" "&amp;BL8&amp;":"</f>
        <v>W/C 2 Mar:</v>
      </c>
      <c r="L27" s="18"/>
      <c r="M27" s="60">
        <f ca="1">IFERROR(IF(BL8&lt;&gt;"", ROUND(AVERAGE(BM11:BR11),0),""), "")</f>
        <v>17</v>
      </c>
    </row>
    <row r="28" spans="1:189" x14ac:dyDescent="0.25">
      <c r="A28" s="45" t="str">
        <f>"W/C "&amp;O9&amp;" "&amp;O8&amp;":"</f>
        <v>W/C 12 Jan:</v>
      </c>
      <c r="B28" s="16"/>
      <c r="C28" s="32">
        <f ca="1">IFERROR((Calculation!L13-AVERAGE(O11:U11))/Calculation!L13, "")</f>
        <v>0.76857142857142857</v>
      </c>
      <c r="D28" s="19" t="str">
        <f>"W/C "&amp;BS9&amp;" "&amp;BS8&amp;":"</f>
        <v>W/C 9 Mar:</v>
      </c>
      <c r="E28" s="18"/>
      <c r="F28" s="46">
        <f ca="1">IFERROR((Calculation!L13-AVERAGE(BS11:BY11))/Calculation!L13, "")</f>
        <v>0.6</v>
      </c>
      <c r="H28" s="45" t="str">
        <f>"W/C "&amp;O9&amp;" "&amp;O8&amp;":"</f>
        <v>W/C 12 Jan:</v>
      </c>
      <c r="I28" s="16"/>
      <c r="J28" s="26">
        <f ca="1">IFERROR(IF(O8&lt;&gt;"",ROUND(AVERAGE(P11:U11),0),""), "")</f>
        <v>12</v>
      </c>
      <c r="K28" s="17" t="str">
        <f>"W/C "&amp;BS9&amp;" "&amp;BS8&amp;":"</f>
        <v>W/C 9 Mar:</v>
      </c>
      <c r="L28" s="18"/>
      <c r="M28" s="60">
        <f ca="1">IFERROR(IF(BS8&lt;&gt;"", ROUND(AVERAGE(BT11:BY11),0),""), "")</f>
        <v>20</v>
      </c>
    </row>
    <row r="29" spans="1:189" x14ac:dyDescent="0.25">
      <c r="A29" s="47" t="str">
        <f>"W/C "&amp;V9&amp;" "&amp;V8&amp;":"</f>
        <v>W/C 19 Jan:</v>
      </c>
      <c r="B29" s="22"/>
      <c r="C29" s="33">
        <f ca="1">IFERROR((Calculation!L13-AVERAGE(V11:AB11))/Calculation!L13, "")</f>
        <v>0.74285714285714277</v>
      </c>
      <c r="D29" s="21" t="str">
        <f>"W/C "&amp;BZ9&amp;" "&amp;BZ8&amp;":"</f>
        <v>W/C 16 Mar:</v>
      </c>
      <c r="E29" s="23"/>
      <c r="F29" s="48">
        <f ca="1">IFERROR((Calculation!L13-AVERAGE(BZ11:CF11))/Calculation!L13, "")</f>
        <v>0.57999999999999996</v>
      </c>
      <c r="H29" s="47" t="str">
        <f>"W/C "&amp;V9&amp;" "&amp;V8&amp;":"</f>
        <v>W/C 19 Jan:</v>
      </c>
      <c r="I29" s="22"/>
      <c r="J29" s="27">
        <f ca="1">IFERROR(IF(V8&lt;&gt;"",ROUND(AVERAGE(W11:AB11),0),""), "")</f>
        <v>13</v>
      </c>
      <c r="K29" s="30" t="str">
        <f>"W/C "&amp;BZ9&amp;" "&amp;BZ8&amp;":"</f>
        <v>W/C 16 Mar:</v>
      </c>
      <c r="L29" s="23"/>
      <c r="M29" s="61">
        <f ca="1">IFERROR(IF(BZ8&lt;&gt;"", ROUND(AVERAGE(CA11:CF11),0),""), "")</f>
        <v>21</v>
      </c>
    </row>
    <row r="30" spans="1:189" x14ac:dyDescent="0.25">
      <c r="A30" s="49" t="str">
        <f>"W/C "&amp;AC9&amp;" "&amp;AC8&amp;":"</f>
        <v>W/C 26 Jan:</v>
      </c>
      <c r="B30" s="17"/>
      <c r="C30" s="34">
        <f ca="1">IFERROR((Calculation!L13-AVERAGE(AC11:AI11))/Calculation!L13, "")</f>
        <v>0.72571428571428565</v>
      </c>
      <c r="D30" s="16" t="str">
        <f>"W/C "&amp;CG9&amp;" "&amp;CG8&amp;":"</f>
        <v>W/C 23 Mar:</v>
      </c>
      <c r="E30" s="20"/>
      <c r="F30" s="50">
        <f ca="1">IFERROR((Calculation!L13-AVERAGE(CG11:CM11))/Calculation!L13, "")</f>
        <v>0.56285714285714283</v>
      </c>
      <c r="H30" s="49" t="str">
        <f>"W/C "&amp;AC9&amp;" "&amp;AC8&amp;":"</f>
        <v>W/C 26 Jan:</v>
      </c>
      <c r="I30" s="17"/>
      <c r="J30" s="28">
        <f ca="1">IFERROR(IF(AC8&lt;&gt;"", ROUND(AVERAGE(AD11:AI11), 0),""), "")</f>
        <v>14</v>
      </c>
      <c r="K30" s="16" t="str">
        <f>"W/C "&amp;CG9&amp;" "&amp;CG8&amp;":"</f>
        <v>W/C 23 Mar:</v>
      </c>
      <c r="L30" s="20"/>
      <c r="M30" s="29">
        <f ca="1">IFERROR(IF(CG8&lt;&gt;"", ROUND(AVERAGE(CH11:CM11),0),""), "")</f>
        <v>22</v>
      </c>
    </row>
    <row r="31" spans="1:189" x14ac:dyDescent="0.25">
      <c r="A31" s="49" t="str">
        <f>"W/C "&amp;AJ9&amp;" "&amp;AJ8&amp;":"</f>
        <v>W/C 2 Feb:</v>
      </c>
      <c r="B31" s="17"/>
      <c r="C31" s="34">
        <f ca="1">IFERROR((Calculation!L13-AVERAGE(AJ11:AP11))/Calculation!L13, "")</f>
        <v>0.72285714285714275</v>
      </c>
      <c r="D31" s="16" t="str">
        <f>"W/C "&amp;CN9&amp;" "&amp;CN8&amp;":"</f>
        <v>W/C 30 Mar:</v>
      </c>
      <c r="E31" s="20"/>
      <c r="F31" s="50">
        <f ca="1">IFERROR((Calculation!L13-AVERAGE(CN11:CT11))/Calculation!L13, "")</f>
        <v>0.54</v>
      </c>
      <c r="H31" s="49" t="str">
        <f>"W/C "&amp;AJ9&amp;" "&amp;AJ8&amp;":"</f>
        <v>W/C 2 Feb:</v>
      </c>
      <c r="I31" s="17"/>
      <c r="J31" s="28">
        <f ca="1">IFERROR(IF(AJ8&lt;&gt;"", ROUND(AVERAGE(AK11:AP11),0),""), "")</f>
        <v>13</v>
      </c>
      <c r="K31" s="16" t="str">
        <f>"W/C "&amp;CN9&amp;" "&amp;CN8&amp;":"</f>
        <v>W/C 30 Mar:</v>
      </c>
      <c r="L31" s="20"/>
      <c r="M31" s="29">
        <f ca="1">IFERROR(IF(CN8&lt;&gt;"", ROUND(AVERAGE(CO11:CT11),0),""), "")</f>
        <v>23</v>
      </c>
    </row>
    <row r="32" spans="1:189" x14ac:dyDescent="0.25">
      <c r="A32" s="49" t="str">
        <f>"W/C "&amp;AQ9&amp;" "&amp;AQ8&amp;":"</f>
        <v>W/C 9 Feb:</v>
      </c>
      <c r="B32" s="17"/>
      <c r="C32" s="34">
        <f ca="1">IFERROR((Calculation!L13-AVERAGE(AQ11:AW11))/Calculation!L13, "")</f>
        <v>0.66</v>
      </c>
      <c r="D32" s="16" t="str">
        <f>"W/C "&amp;CU9&amp;" "&amp;CU8&amp;":"</f>
        <v>W/C 6 Apr:</v>
      </c>
      <c r="E32" s="20"/>
      <c r="F32" s="50">
        <f ca="1">IFERROR((Calculation!L13-AVERAGE(CU11:DA11))/Calculation!L13, "")</f>
        <v>0.38</v>
      </c>
      <c r="H32" s="49" t="str">
        <f>"W/C "&amp;AQ9&amp;" "&amp;AQ8&amp;":"</f>
        <v>W/C 9 Feb:</v>
      </c>
      <c r="I32" s="17"/>
      <c r="J32" s="28">
        <f ca="1">IFERROR(IF(AQ8&lt;&gt;"", ROUND(AVERAGE(AR11:AW11),0),""), "")</f>
        <v>17</v>
      </c>
      <c r="K32" s="16" t="str">
        <f>"W/C "&amp;CU9&amp;" "&amp;CU8&amp;":"</f>
        <v>W/C 6 Apr:</v>
      </c>
      <c r="L32" s="20"/>
      <c r="M32" s="29">
        <f ca="1">IFERROR(IF(CU8&lt;&gt;"", ROUND(AVERAGE(CV11:DA11),0),""), "")</f>
        <v>32</v>
      </c>
    </row>
    <row r="33" spans="1:13" x14ac:dyDescent="0.25">
      <c r="A33" s="51" t="str">
        <f>"W/C "&amp;AX9&amp;" "&amp;AX8&amp;":"</f>
        <v>W/C 16 Feb:</v>
      </c>
      <c r="B33" s="52"/>
      <c r="C33" s="53">
        <f ca="1">IFERROR((Calculation!L13-AVERAGE(AX11:BD11))/Calculation!L13, "")</f>
        <v>0.58571428571428574</v>
      </c>
      <c r="D33" s="54" t="str">
        <f>"W/C "&amp;DB9&amp;" "&amp;DB8&amp;":"</f>
        <v>W/C 13 Apr:</v>
      </c>
      <c r="E33" s="55"/>
      <c r="F33" s="56">
        <f ca="1">IFERROR((Calculation!L13-AVERAGE(CY11:DE11))/Calculation!L13, "")</f>
        <v>0.35142857142857137</v>
      </c>
      <c r="H33" s="51" t="str">
        <f>"W/C "&amp;AX9&amp;" "&amp;AX8&amp;":"</f>
        <v>W/C 16 Feb:</v>
      </c>
      <c r="I33" s="52"/>
      <c r="J33" s="62">
        <f ca="1">IFERROR(IF(AX8&lt;&gt;"", ROUND(AVERAGE(AY11:BD11),0),""), "")</f>
        <v>21</v>
      </c>
      <c r="K33" s="54" t="str">
        <f>"W/C "&amp;DB9&amp;" "&amp;DB8&amp;":"</f>
        <v>W/C 13 Apr:</v>
      </c>
      <c r="L33" s="55"/>
      <c r="M33" s="63">
        <f ca="1">IFERROR(IF(DB8&lt;&gt;"", ROUND(AVERAGE(DC11:DH11),0),""), "")</f>
        <v>33</v>
      </c>
    </row>
  </sheetData>
  <conditionalFormatting sqref="A8:GG8">
    <cfRule type="notContainsBlanks" dxfId="8" priority="16">
      <formula>LEN(TRIM(A8))&gt;0</formula>
    </cfRule>
  </conditionalFormatting>
  <conditionalFormatting sqref="A9:GG9">
    <cfRule type="notContainsBlanks" dxfId="7" priority="22">
      <formula>LEN(TRIM(A9))&gt;0</formula>
    </cfRule>
  </conditionalFormatting>
  <conditionalFormatting sqref="A10:GG10">
    <cfRule type="notContainsBlanks" dxfId="6" priority="9">
      <formula>LEN(TRIM(A10))&gt;0</formula>
    </cfRule>
  </conditionalFormatting>
  <conditionalFormatting sqref="A14:GG14">
    <cfRule type="notContainsBlanks" dxfId="5" priority="7">
      <formula>LEN(TRIM(A14))&gt;0</formula>
    </cfRule>
  </conditionalFormatting>
  <conditionalFormatting sqref="A15:GG15">
    <cfRule type="notContainsBlanks" dxfId="4" priority="8">
      <formula>LEN(TRIM(A15))&gt;0</formula>
    </cfRule>
  </conditionalFormatting>
  <conditionalFormatting sqref="A20:GG20">
    <cfRule type="notContainsBlanks" dxfId="3" priority="4">
      <formula>LEN(TRIM(A20))&gt;0</formula>
    </cfRule>
  </conditionalFormatting>
  <conditionalFormatting sqref="A21:GG21">
    <cfRule type="notContainsBlanks" dxfId="2" priority="5">
      <formula>LEN(TRIM(A21))&gt;0</formula>
    </cfRule>
  </conditionalFormatting>
  <conditionalFormatting sqref="A16:GG16">
    <cfRule type="notContainsBlanks" dxfId="1" priority="2">
      <formula>LEN(TRIM(A16))&gt;0</formula>
    </cfRule>
  </conditionalFormatting>
  <conditionalFormatting sqref="A22:GG22">
    <cfRule type="notContainsBlanks" dxfId="0" priority="1">
      <formula>LEN(TRIM(A22))&gt;0</formula>
    </cfRule>
  </conditionalFormatting>
  <pageMargins left="0.7" right="0.7" top="0.75" bottom="0.75" header="0.3" footer="0.3"/>
  <pageSetup paperSize="9" scale="76" orientation="landscape" r:id="rId1"/>
  <colBreaks count="3" manualBreakCount="3">
    <brk id="28" max="1048575" man="1"/>
    <brk id="56" max="1048575" man="1"/>
    <brk id="8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eleteAll">
                <anchor moveWithCells="1" sizeWithCells="1">
                  <from>
                    <xdr:col>22</xdr:col>
                    <xdr:colOff>200025</xdr:colOff>
                    <xdr:row>0</xdr:row>
                    <xdr:rowOff>47625</xdr:rowOff>
                  </from>
                  <to>
                    <xdr:col>27</xdr:col>
                    <xdr:colOff>323850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ddToReport">
                <anchor moveWithCells="1" sizeWithCells="1">
                  <from>
                    <xdr:col>22</xdr:col>
                    <xdr:colOff>200025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learReport">
                <anchor moveWithCells="1" sizeWithCells="1">
                  <from>
                    <xdr:col>22</xdr:col>
                    <xdr:colOff>200025</xdr:colOff>
                    <xdr:row>3</xdr:row>
                    <xdr:rowOff>133350</xdr:rowOff>
                  </from>
                  <to>
                    <xdr:col>27</xdr:col>
                    <xdr:colOff>323850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_xludf.Help">
                <anchor moveWithCells="1" sizeWithCells="1">
                  <from>
                    <xdr:col>20</xdr:col>
                    <xdr:colOff>76200</xdr:colOff>
                    <xdr:row>0</xdr:row>
                    <xdr:rowOff>47625</xdr:rowOff>
                  </from>
                  <to>
                    <xdr:col>22</xdr:col>
                    <xdr:colOff>171450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  <pageSetUpPr fitToPage="1"/>
  </sheetPr>
  <dimension ref="A1:O200"/>
  <sheetViews>
    <sheetView showGridLines="0" tabSelected="1" zoomScaleNormal="100" workbookViewId="0">
      <selection activeCell="N44" sqref="N44"/>
    </sheetView>
  </sheetViews>
  <sheetFormatPr defaultColWidth="6.140625" defaultRowHeight="15" x14ac:dyDescent="0.25"/>
  <cols>
    <col min="1" max="1" width="3.7109375" style="3" customWidth="1"/>
    <col min="2" max="7" width="7.42578125" style="3" customWidth="1"/>
    <col min="8" max="8" width="5.5703125" style="3" customWidth="1"/>
    <col min="9" max="13" width="7.42578125" style="3" customWidth="1"/>
    <col min="14" max="14" width="9.140625" style="3" customWidth="1"/>
    <col min="15" max="15" width="3.7109375" style="3" customWidth="1"/>
    <col min="16" max="16384" width="6.140625" style="3"/>
  </cols>
  <sheetData>
    <row r="1" spans="1:15" ht="18" customHeight="1" x14ac:dyDescent="0.25">
      <c r="A1" s="64" t="s">
        <v>22</v>
      </c>
      <c r="B1" s="65"/>
      <c r="C1" s="65"/>
      <c r="D1" s="65"/>
      <c r="E1" s="65"/>
      <c r="F1" s="107">
        <f ca="1">TODAY()</f>
        <v>43467</v>
      </c>
      <c r="G1" s="107"/>
      <c r="H1" s="107"/>
    </row>
    <row r="2" spans="1:15" ht="8.25" customHeight="1" x14ac:dyDescent="0.25"/>
    <row r="3" spans="1:15" ht="15.75" x14ac:dyDescent="0.25">
      <c r="A3" s="13"/>
      <c r="B3" s="31" t="s">
        <v>24</v>
      </c>
      <c r="C3"/>
      <c r="D3"/>
      <c r="E3"/>
      <c r="F3"/>
      <c r="G3"/>
      <c r="H3"/>
      <c r="I3"/>
      <c r="J3"/>
      <c r="K3"/>
      <c r="L3"/>
      <c r="M3"/>
      <c r="N3"/>
    </row>
    <row r="4" spans="1:15" x14ac:dyDescent="0.25">
      <c r="B4" s="13" t="s">
        <v>20</v>
      </c>
      <c r="I4" s="13" t="s">
        <v>21</v>
      </c>
    </row>
    <row r="5" spans="1:15" x14ac:dyDescent="0.25">
      <c r="B5" s="73" t="str">
        <f t="shared" ref="B5:B12" si="0">B17</f>
        <v>W/C 29 Dec:</v>
      </c>
      <c r="C5" s="74"/>
      <c r="D5" s="94">
        <f t="shared" ref="D5:D12" si="1">IFERROR(AVERAGE(D17,D28,D39,D50,D61,D72,D83,D94,D105), "")</f>
        <v>0.80525345622119815</v>
      </c>
      <c r="E5" s="75" t="str">
        <f t="shared" ref="E5:E12" si="2">E17</f>
        <v>W/C 23 Feb:</v>
      </c>
      <c r="F5" s="76"/>
      <c r="G5" s="99">
        <f t="shared" ref="G5:G12" si="3">IFERROR(AVERAGE(G17,G28,G39,G50,G61,G72,G83,G94,G105), "")</f>
        <v>0.68420890937019962</v>
      </c>
      <c r="H5" s="35"/>
      <c r="I5" s="73" t="str">
        <f t="shared" ref="I5:I12" si="4">I17</f>
        <v>W/C 29 Dec:</v>
      </c>
      <c r="J5" s="74"/>
      <c r="K5" s="84">
        <f t="shared" ref="K5:K12" si="5">SUM(K17,K28,K39,K50,K61,K72,K83,K94,K105)</f>
        <v>22</v>
      </c>
      <c r="L5" s="75" t="str">
        <f t="shared" ref="L5:L12" si="6">L17</f>
        <v>W/C 23 Feb:</v>
      </c>
      <c r="M5" s="76"/>
      <c r="N5" s="85">
        <f t="shared" ref="N5:N12" si="7">SUM(N17,N28,N39,N50,N61,N72,N83,N94,N105)</f>
        <v>45</v>
      </c>
    </row>
    <row r="6" spans="1:15" x14ac:dyDescent="0.25">
      <c r="B6" s="77" t="str">
        <f t="shared" si="0"/>
        <v>W/C 5 Jan:</v>
      </c>
      <c r="C6" s="37"/>
      <c r="D6" s="95">
        <f t="shared" si="1"/>
        <v>0.78506912442396304</v>
      </c>
      <c r="E6" s="17" t="str">
        <f t="shared" si="2"/>
        <v>W/C 2 Mar:</v>
      </c>
      <c r="F6" s="18"/>
      <c r="G6" s="100">
        <f t="shared" si="3"/>
        <v>0.65874039938556073</v>
      </c>
      <c r="H6" s="35"/>
      <c r="I6" s="77" t="str">
        <f t="shared" si="4"/>
        <v>W/C 5 Jan:</v>
      </c>
      <c r="J6" s="37"/>
      <c r="K6" s="70">
        <f t="shared" si="5"/>
        <v>31</v>
      </c>
      <c r="L6" s="17" t="str">
        <f t="shared" si="6"/>
        <v>W/C 2 Mar:</v>
      </c>
      <c r="M6" s="18"/>
      <c r="N6" s="86">
        <f t="shared" si="7"/>
        <v>49</v>
      </c>
    </row>
    <row r="7" spans="1:15" x14ac:dyDescent="0.25">
      <c r="B7" s="77" t="str">
        <f t="shared" si="0"/>
        <v>W/C 12 Jan:</v>
      </c>
      <c r="C7" s="37"/>
      <c r="D7" s="95">
        <f t="shared" si="1"/>
        <v>0.8329339477726575</v>
      </c>
      <c r="E7" s="17" t="str">
        <f t="shared" si="2"/>
        <v>W/C 9 Mar:</v>
      </c>
      <c r="F7" s="18"/>
      <c r="G7" s="100">
        <f t="shared" si="3"/>
        <v>0.63164362519201234</v>
      </c>
      <c r="H7" s="35"/>
      <c r="I7" s="77" t="str">
        <f t="shared" si="4"/>
        <v>W/C 12 Jan:</v>
      </c>
      <c r="J7" s="37"/>
      <c r="K7" s="70">
        <f t="shared" si="5"/>
        <v>24</v>
      </c>
      <c r="L7" s="17" t="str">
        <f t="shared" si="6"/>
        <v>W/C 9 Mar:</v>
      </c>
      <c r="M7" s="18"/>
      <c r="N7" s="86">
        <f t="shared" si="7"/>
        <v>53</v>
      </c>
    </row>
    <row r="8" spans="1:15" x14ac:dyDescent="0.25">
      <c r="B8" s="78" t="str">
        <f t="shared" si="0"/>
        <v>W/C 19 Jan:</v>
      </c>
      <c r="C8" s="68"/>
      <c r="D8" s="96">
        <f t="shared" si="1"/>
        <v>0.83127496159754222</v>
      </c>
      <c r="E8" s="17" t="str">
        <f t="shared" si="2"/>
        <v>W/C 16 Mar:</v>
      </c>
      <c r="F8" s="18"/>
      <c r="G8" s="100">
        <f t="shared" si="3"/>
        <v>0.65960061443932416</v>
      </c>
      <c r="H8" s="35"/>
      <c r="I8" s="78" t="str">
        <f t="shared" si="4"/>
        <v>W/C 19 Jan:</v>
      </c>
      <c r="J8" s="68"/>
      <c r="K8" s="71">
        <f t="shared" si="5"/>
        <v>24</v>
      </c>
      <c r="L8" s="17" t="str">
        <f t="shared" si="6"/>
        <v>W/C 16 Mar:</v>
      </c>
      <c r="M8" s="18"/>
      <c r="N8" s="86">
        <f t="shared" si="7"/>
        <v>52</v>
      </c>
    </row>
    <row r="9" spans="1:15" x14ac:dyDescent="0.25">
      <c r="B9" s="79" t="str">
        <f t="shared" si="0"/>
        <v>W/C 26 Jan:</v>
      </c>
      <c r="C9" s="36"/>
      <c r="D9" s="97">
        <f t="shared" si="1"/>
        <v>0.80743471582181259</v>
      </c>
      <c r="E9" s="66" t="str">
        <f t="shared" si="2"/>
        <v>W/C 23 Mar:</v>
      </c>
      <c r="F9" s="69"/>
      <c r="G9" s="101">
        <f t="shared" si="3"/>
        <v>0.63594470046082952</v>
      </c>
      <c r="H9" s="35"/>
      <c r="I9" s="87" t="str">
        <f t="shared" si="4"/>
        <v>W/C 26 Jan:</v>
      </c>
      <c r="J9" s="17"/>
      <c r="K9" s="72">
        <f t="shared" si="5"/>
        <v>29</v>
      </c>
      <c r="L9" s="66" t="str">
        <f t="shared" si="6"/>
        <v>W/C 23 Mar:</v>
      </c>
      <c r="M9" s="69"/>
      <c r="N9" s="88">
        <f t="shared" si="7"/>
        <v>55</v>
      </c>
    </row>
    <row r="10" spans="1:15" x14ac:dyDescent="0.25">
      <c r="A10"/>
      <c r="B10" s="79" t="str">
        <f t="shared" si="0"/>
        <v>W/C 2 Feb:</v>
      </c>
      <c r="C10" s="36"/>
      <c r="D10" s="97">
        <f t="shared" si="1"/>
        <v>0.78583717357910909</v>
      </c>
      <c r="E10" s="67" t="str">
        <f t="shared" si="2"/>
        <v>W/C 30 Mar:</v>
      </c>
      <c r="F10" s="38"/>
      <c r="G10" s="102">
        <f t="shared" si="3"/>
        <v>0.58743471582181261</v>
      </c>
      <c r="H10" s="35"/>
      <c r="I10" s="87" t="str">
        <f t="shared" si="4"/>
        <v>W/C 2 Feb:</v>
      </c>
      <c r="J10" s="17"/>
      <c r="K10" s="72">
        <f t="shared" si="5"/>
        <v>31</v>
      </c>
      <c r="L10" s="67" t="str">
        <f t="shared" si="6"/>
        <v>W/C 30 Mar:</v>
      </c>
      <c r="M10" s="38"/>
      <c r="N10" s="89">
        <f t="shared" si="7"/>
        <v>61</v>
      </c>
      <c r="O10"/>
    </row>
    <row r="11" spans="1:15" x14ac:dyDescent="0.25">
      <c r="A11"/>
      <c r="B11" s="79" t="str">
        <f t="shared" si="0"/>
        <v>W/C 9 Feb:</v>
      </c>
      <c r="C11" s="36"/>
      <c r="D11" s="97">
        <f t="shared" si="1"/>
        <v>0.72129032258064518</v>
      </c>
      <c r="E11" s="67" t="str">
        <f t="shared" si="2"/>
        <v>W/C 6 Apr:</v>
      </c>
      <c r="F11" s="38"/>
      <c r="G11" s="102">
        <f t="shared" si="3"/>
        <v>0.5176958525345623</v>
      </c>
      <c r="H11" s="35"/>
      <c r="I11" s="87" t="str">
        <f t="shared" si="4"/>
        <v>W/C 9 Feb:</v>
      </c>
      <c r="J11" s="17"/>
      <c r="K11" s="72">
        <f t="shared" si="5"/>
        <v>41</v>
      </c>
      <c r="L11" s="67" t="str">
        <f t="shared" si="6"/>
        <v>W/C 6 Apr:</v>
      </c>
      <c r="M11" s="38"/>
      <c r="N11" s="89">
        <f t="shared" si="7"/>
        <v>72</v>
      </c>
      <c r="O11"/>
    </row>
    <row r="12" spans="1:15" x14ac:dyDescent="0.25">
      <c r="A12"/>
      <c r="B12" s="80" t="str">
        <f t="shared" si="0"/>
        <v>W/C 16 Feb:</v>
      </c>
      <c r="C12" s="81"/>
      <c r="D12" s="98">
        <f t="shared" si="1"/>
        <v>0.68771121351766518</v>
      </c>
      <c r="E12" s="82" t="str">
        <f t="shared" si="2"/>
        <v>W/C 13 Apr:</v>
      </c>
      <c r="F12" s="83"/>
      <c r="G12" s="103">
        <f t="shared" si="3"/>
        <v>0.46642089093701999</v>
      </c>
      <c r="H12" s="35"/>
      <c r="I12" s="90" t="str">
        <f t="shared" si="4"/>
        <v>W/C 16 Feb:</v>
      </c>
      <c r="J12" s="91"/>
      <c r="K12" s="92">
        <f t="shared" si="5"/>
        <v>46</v>
      </c>
      <c r="L12" s="82" t="str">
        <f t="shared" si="6"/>
        <v>W/C 13 Apr:</v>
      </c>
      <c r="M12" s="83"/>
      <c r="N12" s="93">
        <f t="shared" si="7"/>
        <v>85</v>
      </c>
      <c r="O12"/>
    </row>
    <row r="13" spans="1:15" x14ac:dyDescent="0.25">
      <c r="A13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/>
    </row>
    <row r="14" spans="1:15" ht="7.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ht="15.75" x14ac:dyDescent="0.25">
      <c r="A15"/>
      <c r="B15" s="31" t="s">
        <v>38</v>
      </c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5" x14ac:dyDescent="0.25">
      <c r="A16"/>
      <c r="B16" s="13" t="s">
        <v>20</v>
      </c>
      <c r="I16" s="13" t="s">
        <v>21</v>
      </c>
      <c r="O16"/>
    </row>
    <row r="17" spans="1:15" x14ac:dyDescent="0.25">
      <c r="A17"/>
      <c r="B17" s="39" t="s">
        <v>49</v>
      </c>
      <c r="C17" s="40"/>
      <c r="D17" s="41">
        <v>0.66857142857142859</v>
      </c>
      <c r="E17" s="42" t="s">
        <v>50</v>
      </c>
      <c r="F17" s="43"/>
      <c r="G17" s="44">
        <v>0.72</v>
      </c>
      <c r="H17" s="108"/>
      <c r="I17" s="39" t="s">
        <v>49</v>
      </c>
      <c r="J17" s="40"/>
      <c r="K17" s="57">
        <v>8</v>
      </c>
      <c r="L17" s="58" t="s">
        <v>50</v>
      </c>
      <c r="M17" s="43"/>
      <c r="N17" s="59">
        <v>7</v>
      </c>
      <c r="O17"/>
    </row>
    <row r="18" spans="1:15" x14ac:dyDescent="0.25">
      <c r="A18"/>
      <c r="B18" s="45" t="s">
        <v>51</v>
      </c>
      <c r="C18" s="16"/>
      <c r="D18" s="32">
        <v>0.8571428571428571</v>
      </c>
      <c r="E18" s="19" t="s">
        <v>52</v>
      </c>
      <c r="F18" s="18"/>
      <c r="G18" s="46">
        <v>0.72</v>
      </c>
      <c r="H18" s="108"/>
      <c r="I18" s="45" t="s">
        <v>51</v>
      </c>
      <c r="J18" s="16"/>
      <c r="K18" s="26">
        <v>3</v>
      </c>
      <c r="L18" s="17" t="s">
        <v>52</v>
      </c>
      <c r="M18" s="18"/>
      <c r="N18" s="60">
        <v>7</v>
      </c>
      <c r="O18"/>
    </row>
    <row r="19" spans="1:15" x14ac:dyDescent="0.25">
      <c r="A19"/>
      <c r="B19" s="45" t="s">
        <v>53</v>
      </c>
      <c r="C19" s="16"/>
      <c r="D19" s="32">
        <v>0.88</v>
      </c>
      <c r="E19" s="19" t="s">
        <v>54</v>
      </c>
      <c r="F19" s="18"/>
      <c r="G19" s="46">
        <v>0.7142857142857143</v>
      </c>
      <c r="H19" s="108"/>
      <c r="I19" s="45" t="s">
        <v>53</v>
      </c>
      <c r="J19" s="16"/>
      <c r="K19" s="26">
        <v>3</v>
      </c>
      <c r="L19" s="17" t="s">
        <v>54</v>
      </c>
      <c r="M19" s="18"/>
      <c r="N19" s="60">
        <v>7</v>
      </c>
      <c r="O19"/>
    </row>
    <row r="20" spans="1:15" x14ac:dyDescent="0.25">
      <c r="A20"/>
      <c r="B20" s="47" t="s">
        <v>44</v>
      </c>
      <c r="C20" s="22"/>
      <c r="D20" s="33">
        <v>0.88</v>
      </c>
      <c r="E20" s="21" t="s">
        <v>55</v>
      </c>
      <c r="F20" s="23"/>
      <c r="G20" s="48">
        <v>0.8342857142857143</v>
      </c>
      <c r="H20" s="108"/>
      <c r="I20" s="47" t="s">
        <v>44</v>
      </c>
      <c r="J20" s="22"/>
      <c r="K20" s="27">
        <v>3</v>
      </c>
      <c r="L20" s="30" t="s">
        <v>55</v>
      </c>
      <c r="M20" s="23"/>
      <c r="N20" s="61">
        <v>4</v>
      </c>
      <c r="O20"/>
    </row>
    <row r="21" spans="1:15" x14ac:dyDescent="0.25">
      <c r="A21"/>
      <c r="B21" s="49" t="s">
        <v>45</v>
      </c>
      <c r="C21" s="17"/>
      <c r="D21" s="34">
        <v>0.90857142857142859</v>
      </c>
      <c r="E21" s="16" t="s">
        <v>56</v>
      </c>
      <c r="F21" s="20"/>
      <c r="G21" s="50">
        <v>0.79428571428571426</v>
      </c>
      <c r="H21" s="108"/>
      <c r="I21" s="49" t="s">
        <v>45</v>
      </c>
      <c r="J21" s="17"/>
      <c r="K21" s="28">
        <v>2</v>
      </c>
      <c r="L21" s="16" t="s">
        <v>56</v>
      </c>
      <c r="M21" s="20"/>
      <c r="N21" s="29">
        <v>5</v>
      </c>
      <c r="O21"/>
    </row>
    <row r="22" spans="1:15" x14ac:dyDescent="0.25">
      <c r="A22"/>
      <c r="B22" s="49" t="s">
        <v>46</v>
      </c>
      <c r="C22" s="17"/>
      <c r="D22" s="34">
        <v>0.87428571428571433</v>
      </c>
      <c r="E22" s="16" t="s">
        <v>58</v>
      </c>
      <c r="F22" s="20"/>
      <c r="G22" s="50">
        <v>0.72</v>
      </c>
      <c r="H22" s="108"/>
      <c r="I22" s="49" t="s">
        <v>46</v>
      </c>
      <c r="J22" s="17"/>
      <c r="K22" s="28">
        <v>3</v>
      </c>
      <c r="L22" s="16" t="s">
        <v>58</v>
      </c>
      <c r="M22" s="20"/>
      <c r="N22" s="29">
        <v>7</v>
      </c>
      <c r="O22"/>
    </row>
    <row r="23" spans="1:15" x14ac:dyDescent="0.25">
      <c r="A23"/>
      <c r="B23" s="49" t="s">
        <v>47</v>
      </c>
      <c r="C23" s="17"/>
      <c r="D23" s="34">
        <v>0.80571428571428572</v>
      </c>
      <c r="E23" s="16" t="s">
        <v>59</v>
      </c>
      <c r="F23" s="20"/>
      <c r="G23" s="50">
        <v>0.68</v>
      </c>
      <c r="H23" s="108"/>
      <c r="I23" s="49" t="s">
        <v>47</v>
      </c>
      <c r="J23" s="17"/>
      <c r="K23" s="28">
        <v>5</v>
      </c>
      <c r="L23" s="16" t="s">
        <v>59</v>
      </c>
      <c r="M23" s="20"/>
      <c r="N23" s="29">
        <v>8</v>
      </c>
      <c r="O23"/>
    </row>
    <row r="24" spans="1:15" x14ac:dyDescent="0.25">
      <c r="A24"/>
      <c r="B24" s="51" t="s">
        <v>48</v>
      </c>
      <c r="C24" s="52"/>
      <c r="D24" s="53">
        <v>0.8</v>
      </c>
      <c r="E24" s="54" t="s">
        <v>61</v>
      </c>
      <c r="F24" s="55"/>
      <c r="G24" s="56">
        <v>0.64</v>
      </c>
      <c r="H24" s="108"/>
      <c r="I24" s="51" t="s">
        <v>48</v>
      </c>
      <c r="J24" s="52"/>
      <c r="K24" s="62">
        <v>5</v>
      </c>
      <c r="L24" s="54" t="s">
        <v>61</v>
      </c>
      <c r="M24" s="55"/>
      <c r="N24" s="63">
        <v>10</v>
      </c>
      <c r="O24"/>
    </row>
    <row r="25" spans="1: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ht="15.75" x14ac:dyDescent="0.25">
      <c r="A26"/>
      <c r="B26" s="31" t="s">
        <v>39</v>
      </c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/>
      <c r="B27" s="13" t="s">
        <v>20</v>
      </c>
      <c r="I27" s="13" t="s">
        <v>21</v>
      </c>
      <c r="O27"/>
    </row>
    <row r="28" spans="1:15" x14ac:dyDescent="0.25">
      <c r="A28"/>
      <c r="B28" s="39" t="s">
        <v>49</v>
      </c>
      <c r="C28" s="40"/>
      <c r="D28" s="41">
        <v>0.89861751152073732</v>
      </c>
      <c r="E28" s="42" t="s">
        <v>50</v>
      </c>
      <c r="F28" s="43"/>
      <c r="G28" s="44">
        <v>0.64976958525345618</v>
      </c>
      <c r="H28" s="109"/>
      <c r="I28" s="39" t="s">
        <v>49</v>
      </c>
      <c r="J28" s="40"/>
      <c r="K28" s="57">
        <v>6</v>
      </c>
      <c r="L28" s="58" t="s">
        <v>50</v>
      </c>
      <c r="M28" s="43"/>
      <c r="N28" s="59">
        <v>22</v>
      </c>
      <c r="O28"/>
    </row>
    <row r="29" spans="1:15" x14ac:dyDescent="0.25">
      <c r="A29"/>
      <c r="B29" s="45" t="s">
        <v>51</v>
      </c>
      <c r="C29" s="16"/>
      <c r="D29" s="32">
        <v>0.75806451612903225</v>
      </c>
      <c r="E29" s="19" t="s">
        <v>52</v>
      </c>
      <c r="F29" s="18"/>
      <c r="G29" s="46">
        <v>0.59907834101382484</v>
      </c>
      <c r="H29" s="109"/>
      <c r="I29" s="45" t="s">
        <v>51</v>
      </c>
      <c r="J29" s="16"/>
      <c r="K29" s="26">
        <v>15</v>
      </c>
      <c r="L29" s="17" t="s">
        <v>52</v>
      </c>
      <c r="M29" s="18"/>
      <c r="N29" s="60">
        <v>25</v>
      </c>
      <c r="O29"/>
    </row>
    <row r="30" spans="1:15" x14ac:dyDescent="0.25">
      <c r="A30"/>
      <c r="B30" s="45" t="s">
        <v>53</v>
      </c>
      <c r="C30" s="16"/>
      <c r="D30" s="32">
        <v>0.85023041474654382</v>
      </c>
      <c r="E30" s="19" t="s">
        <v>54</v>
      </c>
      <c r="F30" s="18"/>
      <c r="G30" s="46">
        <v>0.58064516129032262</v>
      </c>
      <c r="H30" s="109"/>
      <c r="I30" s="45" t="s">
        <v>53</v>
      </c>
      <c r="J30" s="16"/>
      <c r="K30" s="26">
        <v>9</v>
      </c>
      <c r="L30" s="17" t="s">
        <v>54</v>
      </c>
      <c r="M30" s="18"/>
      <c r="N30" s="60">
        <v>26</v>
      </c>
      <c r="O30"/>
    </row>
    <row r="31" spans="1:15" x14ac:dyDescent="0.25">
      <c r="A31"/>
      <c r="B31" s="47" t="s">
        <v>44</v>
      </c>
      <c r="C31" s="22"/>
      <c r="D31" s="33">
        <v>0.87096774193548387</v>
      </c>
      <c r="E31" s="21" t="s">
        <v>55</v>
      </c>
      <c r="F31" s="23"/>
      <c r="G31" s="48">
        <v>0.56451612903225812</v>
      </c>
      <c r="H31" s="109"/>
      <c r="I31" s="47" t="s">
        <v>44</v>
      </c>
      <c r="J31" s="22"/>
      <c r="K31" s="27">
        <v>8</v>
      </c>
      <c r="L31" s="30" t="s">
        <v>55</v>
      </c>
      <c r="M31" s="23"/>
      <c r="N31" s="61">
        <v>27</v>
      </c>
      <c r="O31"/>
    </row>
    <row r="32" spans="1:15" x14ac:dyDescent="0.25">
      <c r="A32"/>
      <c r="B32" s="49" t="s">
        <v>45</v>
      </c>
      <c r="C32" s="17"/>
      <c r="D32" s="34">
        <v>0.78801843317972353</v>
      </c>
      <c r="E32" s="16" t="s">
        <v>56</v>
      </c>
      <c r="F32" s="20"/>
      <c r="G32" s="50">
        <v>0.55069124423963123</v>
      </c>
      <c r="H32" s="109"/>
      <c r="I32" s="49" t="s">
        <v>45</v>
      </c>
      <c r="J32" s="17"/>
      <c r="K32" s="28">
        <v>13</v>
      </c>
      <c r="L32" s="16" t="s">
        <v>56</v>
      </c>
      <c r="M32" s="20"/>
      <c r="N32" s="29">
        <v>28</v>
      </c>
      <c r="O32"/>
    </row>
    <row r="33" spans="1:15" x14ac:dyDescent="0.25">
      <c r="A33"/>
      <c r="B33" s="49" t="s">
        <v>46</v>
      </c>
      <c r="C33" s="17"/>
      <c r="D33" s="34">
        <v>0.76036866359446997</v>
      </c>
      <c r="E33" s="16" t="s">
        <v>58</v>
      </c>
      <c r="F33" s="20"/>
      <c r="G33" s="50">
        <v>0.50230414746543783</v>
      </c>
      <c r="H33" s="109"/>
      <c r="I33" s="49" t="s">
        <v>46</v>
      </c>
      <c r="J33" s="17"/>
      <c r="K33" s="28">
        <v>15</v>
      </c>
      <c r="L33" s="16" t="s">
        <v>58</v>
      </c>
      <c r="M33" s="20"/>
      <c r="N33" s="29">
        <v>31</v>
      </c>
      <c r="O33"/>
    </row>
    <row r="34" spans="1:15" x14ac:dyDescent="0.25">
      <c r="A34"/>
      <c r="B34" s="49" t="s">
        <v>47</v>
      </c>
      <c r="C34" s="17"/>
      <c r="D34" s="34">
        <v>0.6981566820276498</v>
      </c>
      <c r="E34" s="16" t="s">
        <v>59</v>
      </c>
      <c r="F34" s="20"/>
      <c r="G34" s="50">
        <v>0.49308755760368667</v>
      </c>
      <c r="H34" s="109"/>
      <c r="I34" s="49" t="s">
        <v>47</v>
      </c>
      <c r="J34" s="17"/>
      <c r="K34" s="28">
        <v>19</v>
      </c>
      <c r="L34" s="16" t="s">
        <v>59</v>
      </c>
      <c r="M34" s="20"/>
      <c r="N34" s="29">
        <v>32</v>
      </c>
      <c r="O34"/>
    </row>
    <row r="35" spans="1:15" x14ac:dyDescent="0.25">
      <c r="A35"/>
      <c r="B35" s="51" t="s">
        <v>48</v>
      </c>
      <c r="C35" s="52"/>
      <c r="D35" s="53">
        <v>0.67741935483870963</v>
      </c>
      <c r="E35" s="54" t="s">
        <v>61</v>
      </c>
      <c r="F35" s="55"/>
      <c r="G35" s="56">
        <v>0.40783410138248849</v>
      </c>
      <c r="H35" s="109"/>
      <c r="I35" s="51" t="s">
        <v>48</v>
      </c>
      <c r="J35" s="52"/>
      <c r="K35" s="62">
        <v>20</v>
      </c>
      <c r="L35" s="54" t="s">
        <v>61</v>
      </c>
      <c r="M35" s="55"/>
      <c r="N35" s="63">
        <v>42</v>
      </c>
      <c r="O35"/>
    </row>
    <row r="36" spans="1: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ht="15.75" x14ac:dyDescent="0.25">
      <c r="A37"/>
      <c r="B37" s="31" t="s">
        <v>37</v>
      </c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B38" s="13" t="s">
        <v>20</v>
      </c>
      <c r="I38" s="13" t="s">
        <v>21</v>
      </c>
      <c r="O38"/>
    </row>
    <row r="39" spans="1:15" x14ac:dyDescent="0.25">
      <c r="A39"/>
      <c r="B39" s="39" t="s">
        <v>49</v>
      </c>
      <c r="C39" s="40"/>
      <c r="D39" s="41">
        <v>0.84857142857142864</v>
      </c>
      <c r="E39" s="42" t="s">
        <v>50</v>
      </c>
      <c r="F39" s="43"/>
      <c r="G39" s="44">
        <v>0.68285714285714283</v>
      </c>
      <c r="H39" s="110"/>
      <c r="I39" s="39" t="s">
        <v>49</v>
      </c>
      <c r="J39" s="40"/>
      <c r="K39" s="57">
        <v>8</v>
      </c>
      <c r="L39" s="58" t="s">
        <v>50</v>
      </c>
      <c r="M39" s="43"/>
      <c r="N39" s="59">
        <v>16</v>
      </c>
      <c r="O39"/>
    </row>
    <row r="40" spans="1:15" x14ac:dyDescent="0.25">
      <c r="A40"/>
      <c r="B40" s="45" t="s">
        <v>51</v>
      </c>
      <c r="C40" s="16"/>
      <c r="D40" s="32">
        <v>0.74</v>
      </c>
      <c r="E40" s="19" t="s">
        <v>52</v>
      </c>
      <c r="F40" s="18"/>
      <c r="G40" s="46">
        <v>0.65714285714285725</v>
      </c>
      <c r="H40" s="110"/>
      <c r="I40" s="45" t="s">
        <v>51</v>
      </c>
      <c r="J40" s="16"/>
      <c r="K40" s="26">
        <v>13</v>
      </c>
      <c r="L40" s="17" t="s">
        <v>52</v>
      </c>
      <c r="M40" s="18"/>
      <c r="N40" s="60">
        <v>17</v>
      </c>
      <c r="O40"/>
    </row>
    <row r="41" spans="1:15" x14ac:dyDescent="0.25">
      <c r="A41"/>
      <c r="B41" s="45" t="s">
        <v>53</v>
      </c>
      <c r="C41" s="16"/>
      <c r="D41" s="32">
        <v>0.76857142857142857</v>
      </c>
      <c r="E41" s="19" t="s">
        <v>54</v>
      </c>
      <c r="F41" s="18"/>
      <c r="G41" s="46">
        <v>0.6</v>
      </c>
      <c r="H41" s="110"/>
      <c r="I41" s="45" t="s">
        <v>53</v>
      </c>
      <c r="J41" s="16"/>
      <c r="K41" s="26">
        <v>12</v>
      </c>
      <c r="L41" s="17" t="s">
        <v>54</v>
      </c>
      <c r="M41" s="18"/>
      <c r="N41" s="60">
        <v>20</v>
      </c>
      <c r="O41"/>
    </row>
    <row r="42" spans="1:15" x14ac:dyDescent="0.25">
      <c r="A42"/>
      <c r="B42" s="47" t="s">
        <v>44</v>
      </c>
      <c r="C42" s="22"/>
      <c r="D42" s="33">
        <v>0.74285714285714277</v>
      </c>
      <c r="E42" s="21" t="s">
        <v>55</v>
      </c>
      <c r="F42" s="23"/>
      <c r="G42" s="48">
        <v>0.57999999999999996</v>
      </c>
      <c r="H42" s="110"/>
      <c r="I42" s="47" t="s">
        <v>44</v>
      </c>
      <c r="J42" s="22"/>
      <c r="K42" s="27">
        <v>13</v>
      </c>
      <c r="L42" s="30" t="s">
        <v>55</v>
      </c>
      <c r="M42" s="23"/>
      <c r="N42" s="61">
        <v>21</v>
      </c>
      <c r="O42"/>
    </row>
    <row r="43" spans="1:15" x14ac:dyDescent="0.25">
      <c r="A43"/>
      <c r="B43" s="49" t="s">
        <v>45</v>
      </c>
      <c r="C43" s="17"/>
      <c r="D43" s="34">
        <v>0.72571428571428565</v>
      </c>
      <c r="E43" s="16" t="s">
        <v>56</v>
      </c>
      <c r="F43" s="20"/>
      <c r="G43" s="50">
        <v>0.56285714285714283</v>
      </c>
      <c r="H43" s="110"/>
      <c r="I43" s="49" t="s">
        <v>45</v>
      </c>
      <c r="J43" s="17"/>
      <c r="K43" s="28">
        <v>14</v>
      </c>
      <c r="L43" s="16" t="s">
        <v>56</v>
      </c>
      <c r="M43" s="20"/>
      <c r="N43" s="29">
        <v>22</v>
      </c>
      <c r="O43"/>
    </row>
    <row r="44" spans="1:15" x14ac:dyDescent="0.25">
      <c r="A44"/>
      <c r="B44" s="49" t="s">
        <v>46</v>
      </c>
      <c r="C44" s="17"/>
      <c r="D44" s="34">
        <v>0.72285714285714275</v>
      </c>
      <c r="E44" s="16" t="s">
        <v>58</v>
      </c>
      <c r="F44" s="20"/>
      <c r="G44" s="50">
        <v>0.54</v>
      </c>
      <c r="H44" s="110"/>
      <c r="I44" s="49" t="s">
        <v>46</v>
      </c>
      <c r="J44" s="17"/>
      <c r="K44" s="28">
        <v>13</v>
      </c>
      <c r="L44" s="16" t="s">
        <v>58</v>
      </c>
      <c r="M44" s="20"/>
      <c r="N44" s="29">
        <v>23</v>
      </c>
      <c r="O44"/>
    </row>
    <row r="45" spans="1:15" x14ac:dyDescent="0.25">
      <c r="A45"/>
      <c r="B45" s="49" t="s">
        <v>47</v>
      </c>
      <c r="C45" s="17"/>
      <c r="D45" s="34">
        <v>0.66</v>
      </c>
      <c r="E45" s="16" t="s">
        <v>59</v>
      </c>
      <c r="F45" s="20"/>
      <c r="G45" s="50">
        <v>0.38</v>
      </c>
      <c r="H45" s="110"/>
      <c r="I45" s="49" t="s">
        <v>47</v>
      </c>
      <c r="J45" s="17"/>
      <c r="K45" s="28">
        <v>17</v>
      </c>
      <c r="L45" s="16" t="s">
        <v>59</v>
      </c>
      <c r="M45" s="20"/>
      <c r="N45" s="29">
        <v>32</v>
      </c>
      <c r="O45"/>
    </row>
    <row r="46" spans="1:15" x14ac:dyDescent="0.25">
      <c r="A46"/>
      <c r="B46" s="51" t="s">
        <v>48</v>
      </c>
      <c r="C46" s="52"/>
      <c r="D46" s="53">
        <v>0.58571428571428574</v>
      </c>
      <c r="E46" s="54" t="s">
        <v>61</v>
      </c>
      <c r="F46" s="55"/>
      <c r="G46" s="56">
        <v>0.35142857142857137</v>
      </c>
      <c r="H46" s="110"/>
      <c r="I46" s="51" t="s">
        <v>48</v>
      </c>
      <c r="J46" s="52"/>
      <c r="K46" s="62">
        <v>21</v>
      </c>
      <c r="L46" s="54" t="s">
        <v>61</v>
      </c>
      <c r="M46" s="55"/>
      <c r="N46" s="63">
        <v>33</v>
      </c>
      <c r="O46"/>
    </row>
    <row r="47" spans="1: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</sheetData>
  <mergeCells count="1">
    <mergeCell ref="F1:H1"/>
  </mergeCells>
  <pageMargins left="0.23622047244094491" right="0.23622047244094491" top="0.39370078740157483" bottom="0.39370078740157483" header="0" footer="0"/>
  <pageSetup paperSize="9" scale="95" fitToHeight="0" orientation="portrait" r:id="rId1"/>
  <rowBreaks count="2" manualBreakCount="2">
    <brk id="47" max="14" man="1"/>
    <brk id="80" max="1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PASTE RAW DATA HERE</vt:lpstr>
      <vt:lpstr>Calculation</vt:lpstr>
      <vt:lpstr>Results</vt:lpstr>
      <vt:lpstr>Combination Report</vt:lpstr>
      <vt:lpstr>'Combination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Burt</dc:creator>
  <cp:lastModifiedBy>Ana Lopes</cp:lastModifiedBy>
  <cp:lastPrinted>2019-01-02T16:13:30Z</cp:lastPrinted>
  <dcterms:created xsi:type="dcterms:W3CDTF">2018-06-20T10:33:45Z</dcterms:created>
  <dcterms:modified xsi:type="dcterms:W3CDTF">2019-01-02T18:27:37Z</dcterms:modified>
</cp:coreProperties>
</file>